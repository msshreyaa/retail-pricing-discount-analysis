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Peak profit band despite not being the highest discount.</t>
        </r>
      </text>
    </comment>
    <comment ref="A10" authorId="0">
      <text>
        <r>
          <rPr>
            <sz val="10"/>
            <rFont val="Arial"/>
            <family val="2"/>
          </rPr>
          <t xml:space="preserve">Highest discount band results in a net loss.</t>
        </r>
      </text>
    </comment>
  </commentList>
</comments>
</file>

<file path=xl/sharedStrings.xml><?xml version="1.0" encoding="utf-8"?>
<sst xmlns="http://schemas.openxmlformats.org/spreadsheetml/2006/main" count="996" uniqueCount="199">
  <si>
    <t xml:space="preserve">Order ID</t>
  </si>
  <si>
    <t xml:space="preserve">Order Date</t>
  </si>
  <si>
    <t xml:space="preserve">Category</t>
  </si>
  <si>
    <t xml:space="preserve">Product</t>
  </si>
  <si>
    <t xml:space="preserve">Unit Price</t>
  </si>
  <si>
    <t xml:space="preserve">Discount %</t>
  </si>
  <si>
    <t xml:space="preserve">Units Sold</t>
  </si>
  <si>
    <t xml:space="preserve">Unit Cost</t>
  </si>
  <si>
    <t xml:space="preserve">Revenue</t>
  </si>
  <si>
    <t xml:space="preserve">Cost</t>
  </si>
  <si>
    <t xml:space="preserve">Profit</t>
  </si>
  <si>
    <t xml:space="preserve">2026-01-01</t>
  </si>
  <si>
    <t xml:space="preserve">Electronics</t>
  </si>
  <si>
    <t xml:space="preserve">Wireless Earbuds</t>
  </si>
  <si>
    <t xml:space="preserve">2026-01-03</t>
  </si>
  <si>
    <t xml:space="preserve">Home Goods</t>
  </si>
  <si>
    <t xml:space="preserve">Table Fan</t>
  </si>
  <si>
    <t xml:space="preserve">LED Desk Lamp</t>
  </si>
  <si>
    <t xml:space="preserve">2026-01-04</t>
  </si>
  <si>
    <t xml:space="preserve">2026-01-05</t>
  </si>
  <si>
    <t xml:space="preserve">Apparel</t>
  </si>
  <si>
    <t xml:space="preserve">Running Shoes</t>
  </si>
  <si>
    <t xml:space="preserve">Non-stick Cookware Set</t>
  </si>
  <si>
    <t xml:space="preserve">2026-01-06</t>
  </si>
  <si>
    <t xml:space="preserve">Formal Shirt</t>
  </si>
  <si>
    <t xml:space="preserve">2026-01-07</t>
  </si>
  <si>
    <t xml:space="preserve">2026-01-08</t>
  </si>
  <si>
    <t xml:space="preserve">Smartwatch</t>
  </si>
  <si>
    <t xml:space="preserve">2026-01-09</t>
  </si>
  <si>
    <t xml:space="preserve">Bluetooth Speaker</t>
  </si>
  <si>
    <t xml:space="preserve">2026-01-10</t>
  </si>
  <si>
    <t xml:space="preserve">Denim Jacket</t>
  </si>
  <si>
    <t xml:space="preserve">2026-01-11</t>
  </si>
  <si>
    <t xml:space="preserve">Cotton T-Shirt</t>
  </si>
  <si>
    <t xml:space="preserve">2026-01-12</t>
  </si>
  <si>
    <t xml:space="preserve">Storage Organizer</t>
  </si>
  <si>
    <t xml:space="preserve">2026-01-13</t>
  </si>
  <si>
    <t xml:space="preserve">2026-01-14</t>
  </si>
  <si>
    <t xml:space="preserve">Power Bank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</si>
  <si>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</si>
  <si>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</si>
  <si>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</si>
  <si>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</si>
  <si>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</si>
  <si>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</si>
  <si>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</si>
  <si>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</si>
  <si>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</si>
  <si>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2026-01-25</t>
  </si>
  <si>
    <t xml:space="preserve">2026-01-26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</si>
  <si>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</si>
  <si>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</si>
  <si>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</si>
  <si>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</si>
  <si>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</si>
  <si>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</si>
  <si>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</si>
  <si>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</si>
  <si>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</si>
  <si>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</si>
  <si>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</si>
  <si>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</si>
  <si>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</si>
  <si>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</si>
  <si>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</si>
  <si>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</si>
  <si>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</si>
  <si>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</si>
  <si>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</si>
  <si>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</si>
  <si>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</si>
  <si>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</si>
  <si>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</si>
  <si>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</si>
  <si>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</si>
  <si>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</si>
  <si>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</si>
  <si>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</si>
  <si>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</si>
  <si>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</si>
  <si>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2026-03-04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</si>
  <si>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</si>
  <si>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</si>
  <si>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</si>
  <si>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</si>
  <si>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</si>
  <si>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</si>
  <si>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</si>
  <si>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</si>
  <si>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</si>
  <si>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</si>
  <si>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</si>
  <si>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</si>
  <si>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2026-03-19</t>
  </si>
  <si>
    <t xml:space="preserve">2026-03-20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</si>
  <si>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</si>
  <si>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</si>
  <si>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</si>
  <si>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</si>
  <si>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</si>
  <si>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</si>
  <si>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</si>
  <si>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</si>
  <si>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</si>
  <si>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</si>
  <si>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</si>
  <si>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</si>
  <si>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</si>
  <si>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</si>
  <si>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</si>
  <si>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</si>
  <si>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</si>
  <si>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</si>
  <si>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</si>
  <si>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</si>
  <si>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</si>
  <si>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</si>
  <si>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</si>
  <si>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</si>
  <si>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</si>
  <si>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</si>
  <si>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</si>
  <si>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</si>
  <si>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</si>
  <si>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</si>
  <si>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</si>
  <si>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</si>
  <si>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</si>
  <si>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</si>
  <si>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</si>
  <si>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</si>
  <si>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</si>
  <si>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</si>
  <si>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</si>
  <si>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</si>
  <si>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</si>
  <si>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</si>
  <si>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</si>
  <si>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</si>
  <si>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</si>
  <si>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</si>
  <si>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</si>
  <si>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</si>
  <si>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</si>
  <si>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</si>
  <si>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</si>
  <si>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</si>
  <si>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</si>
  <si>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</si>
  <si>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</si>
  <si>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</si>
  <si>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</si>
  <si>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</si>
  <si>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</si>
  <si>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</si>
  <si>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</si>
  <si>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</si>
  <si>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</si>
  <si>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</si>
  <si>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</si>
  <si>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</si>
  <si>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</si>
  <si>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</si>
  <si>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</si>
  <si>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</si>
  <si>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</si>
  <si>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</si>
  <si>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</si>
  <si>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</si>
  <si>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</si>
  <si>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</si>
  <si>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</si>
  <si>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</si>
  <si>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</si>
  <si>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</si>
  <si>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</si>
  <si>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</si>
  <si>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</si>
  <si>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</si>
  <si>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</si>
  <si>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</si>
  <si>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</si>
  <si>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</si>
  <si>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</si>
  <si>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</si>
  <si>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Pricing &amp; Discount Impact Summary</t>
  </si>
  <si>
    <t xml:space="preserve">All figures calculated via SUMIFS/AVERAGEIFS from Raw Data — recalculates automatically if Raw Data changes.</t>
  </si>
  <si>
    <t xml:space="preserve">By Discount Band</t>
  </si>
  <si>
    <t xml:space="preserve">Total Revenue</t>
  </si>
  <si>
    <t xml:space="preserve">Total Cost</t>
  </si>
  <si>
    <t xml:space="preserve">Total Profit</t>
  </si>
  <si>
    <t xml:space="preserve">Profit Margin %</t>
  </si>
  <si>
    <t xml:space="preserve">By Category</t>
  </si>
  <si>
    <t xml:space="preserve">Retail Pricing &amp; Discount Impact Dashboard</t>
  </si>
  <si>
    <t xml:space="preserve">Key question: are higher discounts actually increasing profit, or just increasing volume while eroding margin?</t>
  </si>
  <si>
    <t xml:space="preserve">Best-performing discount band</t>
  </si>
  <si>
    <t xml:space="preserve">Highest-discount band profit</t>
  </si>
  <si>
    <t xml:space="preserve">Total Profit (all orders)</t>
  </si>
  <si>
    <t xml:space="preserve">Note: Dataset is simulated for portfolio purposes. Category margins and discount-response curves are illustrative assumptions, not sourced from a real retailer.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</si>
</sst>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%"/>
    <numFmt numFmtId="167" formatCode="0.0%"/>
    <numFmt numFmtId="168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B1B1B"/>
      <name val="Arial"/>
      <family val="0"/>
      <charset val="1"/>
    </font>
    <font>
      <b val="true"/>
      <sz val="14"/>
      <color rgb="FF1F3A93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color rgb="FF1F3A93"/>
      <name val="Arial"/>
      <family val="0"/>
      <charset val="1"/>
    </font>
    <font>
      <sz val="10"/>
      <name val="Arial"/>
      <family val="2"/>
    </font>
    <font>
      <b val="true"/>
      <sz val="10"/>
      <color rgb="FF1B1B1B"/>
      <name val="Arial"/>
      <family val="0"/>
      <charset val="1"/>
    </font>
    <font>
      <b val="true"/>
      <sz val="18"/>
      <color rgb="FF0F6E56"/>
      <name val="Arial"/>
      <family val="0"/>
      <charset val="1"/>
    </font>
    <font>
      <b val="true"/>
      <sz val="18"/>
      <color rgb="FF993C1D"/>
      <name val="Arial"/>
      <family val="0"/>
      <charset val="1"/>
    </font>
    <font>
      <b val="true"/>
      <sz val="18"/>
      <color rgb="FF1F3A93"/>
      <name val="Arial"/>
      <family val="0"/>
      <charset val="1"/>
    </font>
    <font>
      <i val="true"/>
      <sz val="8"/>
      <color rgb="FF5F5E5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E1F5EE"/>
        <bgColor rgb="FFF9F9F9"/>
      </patternFill>
    </fill>
    <fill>
      <patternFill patternType="solid">
        <fgColor rgb="FFFAECE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78787"/>
      <rgbColor rgb="FF9999FF"/>
      <rgbColor rgb="FF993366"/>
      <rgbColor rgb="FFF9F9F9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C1D"/>
      <rgbColor rgb="FF993366"/>
      <rgbColor rgb="FF1F3A93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Summary!$A$6:$A$10</c:f>
              <c:strCache>
                <c:ptCount val="5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</c:strCache>
            </c:strRef>
          </c:cat>
          <c:val>
            <c:numRef>
              <c:f>Summary!$D$6:$D$10</c:f>
              <c:numCache>
                <c:formatCode>\₹#,##0</c:formatCode>
                <c:ptCount val="5"/>
                <c:pt idx="0">
                  <c:v>555324.2</c:v>
                </c:pt>
                <c:pt idx="1">
                  <c:v>647209.8</c:v>
                </c:pt>
                <c:pt idx="2">
                  <c:v>329357.4</c:v>
                </c:pt>
                <c:pt idx="3">
                  <c:v>58304.6000000001</c:v>
                </c:pt>
                <c:pt idx="4">
                  <c:v>-247377</c:v>
                </c:pt>
              </c:numCache>
            </c:numRef>
          </c:val>
        </c:ser>
        <c:gapWidth val="150"/>
        <c:overlap val="0"/>
        <c:axId val="52584028"/>
        <c:axId val="38573870"/>
      </c:barChart>
      <c:catAx>
        <c:axId val="52584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73870"/>
        <c:crosses val="autoZero"/>
        <c:auto val="1"/>
        <c:lblAlgn val="ctr"/>
        <c:lblOffset val="100"/>
        <c:noMultiLvlLbl val="0"/>
      </c:catAx>
      <c:valAx>
        <c:axId val="38573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84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Summary!$A$6:$A$10</c:f>
              <c:strCache>
                <c:ptCount val="5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</c:strCache>
            </c:strRef>
          </c:cat>
          <c:val>
            <c:numRef>
              <c:f>Summary!$F$6:$F$10</c:f>
              <c:numCache>
                <c:formatCode>General</c:formatCode>
                <c:ptCount val="5"/>
                <c:pt idx="0">
                  <c:v>941</c:v>
                </c:pt>
                <c:pt idx="1">
                  <c:v>1460</c:v>
                </c:pt>
                <c:pt idx="2">
                  <c:v>1504</c:v>
                </c:pt>
                <c:pt idx="3">
                  <c:v>1971</c:v>
                </c:pt>
                <c:pt idx="4">
                  <c:v>1934</c:v>
                </c:pt>
              </c:numCache>
            </c:numRef>
          </c:val>
        </c:ser>
        <c:gapWidth val="150"/>
        <c:overlap val="0"/>
        <c:axId val="12898833"/>
        <c:axId val="33485135"/>
      </c:barChart>
      <c:catAx>
        <c:axId val="12898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85135"/>
        <c:crosses val="autoZero"/>
        <c:auto val="1"/>
        <c:lblAlgn val="ctr"/>
        <c:lblOffset val="100"/>
        <c:noMultiLvlLbl val="0"/>
      </c:catAx>
      <c:valAx>
        <c:axId val="33485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98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70920</xdr:rowOff>
    </xdr:from>
    <xdr:to>
      <xdr:col>5</xdr:col>
      <xdr:colOff>825840</xdr:colOff>
      <xdr:row>23</xdr:row>
      <xdr:rowOff>72360</xdr:rowOff>
    </xdr:to>
    <xdr:graphicFrame>
      <xdr:nvGraphicFramePr>
        <xdr:cNvPr id="0" name="Chart 1"/>
        <xdr:cNvGraphicFramePr/>
      </xdr:nvGraphicFramePr>
      <xdr:xfrm>
        <a:off x="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71280</xdr:rowOff>
    </xdr:from>
    <xdr:to>
      <xdr:col>5</xdr:col>
      <xdr:colOff>825840</xdr:colOff>
      <xdr:row>39</xdr:row>
      <xdr:rowOff>72360</xdr:rowOff>
    </xdr:to>
    <xdr:graphicFrame>
      <xdr:nvGraphicFramePr>
        <xdr:cNvPr id="1" name="Chart 2"/>
        <xdr:cNvGraphicFramePr/>
      </xdr:nvGraphicFramePr>
      <xdr:xfrm>
        <a:off x="0" y="438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8" min="5" style="0" width="11"/>
    <col collapsed="false" customWidth="true" hidden="false" outlineLevel="0" max="11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1151</v>
      </c>
      <c r="B2" s="2" t="s">
        <v>11</v>
      </c>
      <c r="C2" s="2" t="s">
        <v>12</v>
      </c>
      <c r="D2" s="2" t="s">
        <v>13</v>
      </c>
      <c r="E2" s="3" t="n">
        <v>3040</v>
      </c>
      <c r="F2" s="4" t="n">
        <v>0.3</v>
      </c>
      <c r="G2" s="2" t="n">
        <v>28</v>
      </c>
      <c r="H2" s="3" t="n">
        <v>2432</v>
      </c>
      <c r="I2" s="3" t="n">
        <v>59584</v>
      </c>
      <c r="J2" s="3" t="n">
        <v>68096</v>
      </c>
      <c r="K2" s="3" t="n">
        <v>-8512</v>
      </c>
    </row>
    <row r="3" customFormat="false" ht="15" hidden="false" customHeight="false" outlineLevel="0" collapsed="false">
      <c r="A3" s="2" t="n">
        <v>1124</v>
      </c>
      <c r="B3" s="2" t="s">
        <v>14</v>
      </c>
      <c r="C3" s="2" t="s">
        <v>15</v>
      </c>
      <c r="D3" s="2" t="s">
        <v>16</v>
      </c>
      <c r="E3" s="3" t="n">
        <v>790</v>
      </c>
      <c r="F3" s="4" t="n">
        <v>0.2</v>
      </c>
      <c r="G3" s="2" t="n">
        <v>17</v>
      </c>
      <c r="H3" s="3" t="n">
        <v>489.8</v>
      </c>
      <c r="I3" s="3" t="n">
        <v>10744</v>
      </c>
      <c r="J3" s="3" t="n">
        <v>8326.6</v>
      </c>
      <c r="K3" s="3" t="n">
        <v>2417.4</v>
      </c>
    </row>
    <row r="4" customFormat="false" ht="15" hidden="false" customHeight="false" outlineLevel="0" collapsed="false">
      <c r="A4" s="2" t="n">
        <v>1097</v>
      </c>
      <c r="B4" s="2" t="s">
        <v>14</v>
      </c>
      <c r="C4" s="2" t="s">
        <v>15</v>
      </c>
      <c r="D4" s="2" t="s">
        <v>16</v>
      </c>
      <c r="E4" s="3" t="n">
        <v>1190</v>
      </c>
      <c r="F4" s="4" t="n">
        <v>0.1</v>
      </c>
      <c r="G4" s="2" t="n">
        <v>12</v>
      </c>
      <c r="H4" s="3" t="n">
        <v>737.8</v>
      </c>
      <c r="I4" s="3" t="n">
        <v>12852</v>
      </c>
      <c r="J4" s="3" t="n">
        <v>8853.6</v>
      </c>
      <c r="K4" s="3" t="n">
        <v>3998.4</v>
      </c>
    </row>
    <row r="5" customFormat="false" ht="15" hidden="false" customHeight="false" outlineLevel="0" collapsed="false">
      <c r="A5" s="2" t="n">
        <v>1267</v>
      </c>
      <c r="B5" s="2" t="s">
        <v>14</v>
      </c>
      <c r="C5" s="2" t="s">
        <v>15</v>
      </c>
      <c r="D5" s="2" t="s">
        <v>17</v>
      </c>
      <c r="E5" s="3" t="n">
        <v>1890</v>
      </c>
      <c r="F5" s="4" t="n">
        <v>0.1</v>
      </c>
      <c r="G5" s="2" t="n">
        <v>12</v>
      </c>
      <c r="H5" s="3" t="n">
        <v>1171.8</v>
      </c>
      <c r="I5" s="3" t="n">
        <v>20412</v>
      </c>
      <c r="J5" s="3" t="n">
        <v>14061.6</v>
      </c>
      <c r="K5" s="3" t="n">
        <v>6350.4</v>
      </c>
    </row>
    <row r="6" customFormat="false" ht="15" hidden="false" customHeight="false" outlineLevel="0" collapsed="false">
      <c r="A6" s="2" t="n">
        <v>1062</v>
      </c>
      <c r="B6" s="2" t="s">
        <v>18</v>
      </c>
      <c r="C6" s="2" t="s">
        <v>15</v>
      </c>
      <c r="D6" s="2" t="s">
        <v>16</v>
      </c>
      <c r="E6" s="3" t="n">
        <v>1420</v>
      </c>
      <c r="F6" s="4" t="n">
        <v>0.1</v>
      </c>
      <c r="G6" s="2" t="n">
        <v>11</v>
      </c>
      <c r="H6" s="3" t="n">
        <v>880.4</v>
      </c>
      <c r="I6" s="3" t="n">
        <v>14058</v>
      </c>
      <c r="J6" s="3" t="n">
        <v>9684.4</v>
      </c>
      <c r="K6" s="3" t="n">
        <v>4373.6</v>
      </c>
    </row>
    <row r="7" customFormat="false" ht="15" hidden="false" customHeight="false" outlineLevel="0" collapsed="false">
      <c r="A7" s="2" t="n">
        <v>1014</v>
      </c>
      <c r="B7" s="2" t="s">
        <v>19</v>
      </c>
      <c r="C7" s="2" t="s">
        <v>20</v>
      </c>
      <c r="D7" s="2" t="s">
        <v>21</v>
      </c>
      <c r="E7" s="3" t="n">
        <v>1670</v>
      </c>
      <c r="F7" s="4" t="n">
        <v>0.2</v>
      </c>
      <c r="G7" s="2" t="n">
        <v>18</v>
      </c>
      <c r="H7" s="3" t="n">
        <v>835</v>
      </c>
      <c r="I7" s="3" t="n">
        <v>24048</v>
      </c>
      <c r="J7" s="3" t="n">
        <v>15030</v>
      </c>
      <c r="K7" s="3" t="n">
        <v>9018</v>
      </c>
    </row>
    <row r="8" customFormat="false" ht="15" hidden="false" customHeight="false" outlineLevel="0" collapsed="false">
      <c r="A8" s="2" t="n">
        <v>1195</v>
      </c>
      <c r="B8" s="2" t="s">
        <v>19</v>
      </c>
      <c r="C8" s="2" t="s">
        <v>15</v>
      </c>
      <c r="D8" s="2" t="s">
        <v>22</v>
      </c>
      <c r="E8" s="3" t="n">
        <v>1090</v>
      </c>
      <c r="F8" s="4" t="n">
        <v>0</v>
      </c>
      <c r="G8" s="2" t="n">
        <v>11</v>
      </c>
      <c r="H8" s="3" t="n">
        <v>675.8</v>
      </c>
      <c r="I8" s="3" t="n">
        <v>11990</v>
      </c>
      <c r="J8" s="3" t="n">
        <v>7433.8</v>
      </c>
      <c r="K8" s="3" t="n">
        <v>4556.2</v>
      </c>
    </row>
    <row r="9" customFormat="false" ht="15" hidden="false" customHeight="false" outlineLevel="0" collapsed="false">
      <c r="A9" s="2" t="n">
        <v>1297</v>
      </c>
      <c r="B9" s="2" t="s">
        <v>23</v>
      </c>
      <c r="C9" s="2" t="s">
        <v>20</v>
      </c>
      <c r="D9" s="2" t="s">
        <v>24</v>
      </c>
      <c r="E9" s="3" t="n">
        <v>900</v>
      </c>
      <c r="F9" s="4" t="n">
        <v>0.1</v>
      </c>
      <c r="G9" s="2" t="n">
        <v>17</v>
      </c>
      <c r="H9" s="3" t="n">
        <v>450</v>
      </c>
      <c r="I9" s="3" t="n">
        <v>13770</v>
      </c>
      <c r="J9" s="3" t="n">
        <v>7650</v>
      </c>
      <c r="K9" s="3" t="n">
        <v>6120</v>
      </c>
    </row>
    <row r="10" customFormat="false" ht="15" hidden="false" customHeight="false" outlineLevel="0" collapsed="false">
      <c r="A10" s="2" t="n">
        <v>1233</v>
      </c>
      <c r="B10" s="2" t="s">
        <v>25</v>
      </c>
      <c r="C10" s="2" t="s">
        <v>15</v>
      </c>
      <c r="D10" s="2" t="s">
        <v>16</v>
      </c>
      <c r="E10" s="3" t="n">
        <v>2520</v>
      </c>
      <c r="F10" s="4" t="n">
        <v>0.1</v>
      </c>
      <c r="G10" s="2" t="n">
        <v>33</v>
      </c>
      <c r="H10" s="3" t="n">
        <v>1562.4</v>
      </c>
      <c r="I10" s="3" t="n">
        <v>74844</v>
      </c>
      <c r="J10" s="3" t="n">
        <v>51559.2</v>
      </c>
      <c r="K10" s="3" t="n">
        <v>23284.8</v>
      </c>
    </row>
    <row r="11" customFormat="false" ht="15" hidden="false" customHeight="false" outlineLevel="0" collapsed="false">
      <c r="A11" s="2" t="n">
        <v>1249</v>
      </c>
      <c r="B11" s="2" t="s">
        <v>26</v>
      </c>
      <c r="C11" s="2" t="s">
        <v>15</v>
      </c>
      <c r="D11" s="2" t="s">
        <v>22</v>
      </c>
      <c r="E11" s="3" t="n">
        <v>1340</v>
      </c>
      <c r="F11" s="4" t="n">
        <v>0</v>
      </c>
      <c r="G11" s="2" t="n">
        <v>8</v>
      </c>
      <c r="H11" s="3" t="n">
        <v>830.8</v>
      </c>
      <c r="I11" s="3" t="n">
        <v>10720</v>
      </c>
      <c r="J11" s="3" t="n">
        <v>6646.4</v>
      </c>
      <c r="K11" s="3" t="n">
        <v>4073.6</v>
      </c>
    </row>
    <row r="12" customFormat="false" ht="15" hidden="false" customHeight="false" outlineLevel="0" collapsed="false">
      <c r="A12" s="2" t="n">
        <v>1178</v>
      </c>
      <c r="B12" s="2" t="s">
        <v>26</v>
      </c>
      <c r="C12" s="2" t="s">
        <v>12</v>
      </c>
      <c r="D12" s="2" t="s">
        <v>27</v>
      </c>
      <c r="E12" s="3" t="n">
        <v>2920</v>
      </c>
      <c r="F12" s="4" t="n">
        <v>0.3</v>
      </c>
      <c r="G12" s="2" t="n">
        <v>47</v>
      </c>
      <c r="H12" s="3" t="n">
        <v>2336</v>
      </c>
      <c r="I12" s="3" t="n">
        <v>96068</v>
      </c>
      <c r="J12" s="3" t="n">
        <v>109792</v>
      </c>
      <c r="K12" s="3" t="n">
        <v>-13724</v>
      </c>
    </row>
    <row r="13" customFormat="false" ht="15" hidden="false" customHeight="false" outlineLevel="0" collapsed="false">
      <c r="A13" s="2" t="n">
        <v>1006</v>
      </c>
      <c r="B13" s="2" t="s">
        <v>28</v>
      </c>
      <c r="C13" s="2" t="s">
        <v>12</v>
      </c>
      <c r="D13" s="2" t="s">
        <v>13</v>
      </c>
      <c r="E13" s="3" t="n">
        <v>1410</v>
      </c>
      <c r="F13" s="4" t="n">
        <v>0.3</v>
      </c>
      <c r="G13" s="2" t="n">
        <v>42</v>
      </c>
      <c r="H13" s="3" t="n">
        <v>1128</v>
      </c>
      <c r="I13" s="3" t="n">
        <v>41454</v>
      </c>
      <c r="J13" s="3" t="n">
        <v>47376</v>
      </c>
      <c r="K13" s="3" t="n">
        <v>-5922</v>
      </c>
    </row>
    <row r="14" customFormat="false" ht="15" hidden="false" customHeight="false" outlineLevel="0" collapsed="false">
      <c r="A14" s="2" t="n">
        <v>1223</v>
      </c>
      <c r="B14" s="2" t="s">
        <v>28</v>
      </c>
      <c r="C14" s="2" t="s">
        <v>12</v>
      </c>
      <c r="D14" s="2" t="s">
        <v>29</v>
      </c>
      <c r="E14" s="3" t="n">
        <v>1590</v>
      </c>
      <c r="F14" s="4" t="n">
        <v>0</v>
      </c>
      <c r="G14" s="2" t="n">
        <v>18</v>
      </c>
      <c r="H14" s="3" t="n">
        <v>1272</v>
      </c>
      <c r="I14" s="3" t="n">
        <v>28620</v>
      </c>
      <c r="J14" s="3" t="n">
        <v>22896</v>
      </c>
      <c r="K14" s="3" t="n">
        <v>5724</v>
      </c>
    </row>
    <row r="15" customFormat="false" ht="15" hidden="false" customHeight="false" outlineLevel="0" collapsed="false">
      <c r="A15" s="2" t="n">
        <v>1091</v>
      </c>
      <c r="B15" s="2" t="s">
        <v>30</v>
      </c>
      <c r="C15" s="2" t="s">
        <v>12</v>
      </c>
      <c r="D15" s="2" t="s">
        <v>29</v>
      </c>
      <c r="E15" s="3" t="n">
        <v>1450</v>
      </c>
      <c r="F15" s="4" t="n">
        <v>0.1</v>
      </c>
      <c r="G15" s="2" t="n">
        <v>17</v>
      </c>
      <c r="H15" s="3" t="n">
        <v>1160</v>
      </c>
      <c r="I15" s="3" t="n">
        <v>22185</v>
      </c>
      <c r="J15" s="3" t="n">
        <v>19720</v>
      </c>
      <c r="K15" s="3" t="n">
        <v>2465</v>
      </c>
    </row>
    <row r="16" customFormat="false" ht="15" hidden="false" customHeight="false" outlineLevel="0" collapsed="false">
      <c r="A16" s="2" t="n">
        <v>1136</v>
      </c>
      <c r="B16" s="2" t="s">
        <v>30</v>
      </c>
      <c r="C16" s="2" t="s">
        <v>12</v>
      </c>
      <c r="D16" s="2" t="s">
        <v>13</v>
      </c>
      <c r="E16" s="3" t="n">
        <v>3770</v>
      </c>
      <c r="F16" s="4" t="n">
        <v>0</v>
      </c>
      <c r="G16" s="2" t="n">
        <v>11</v>
      </c>
      <c r="H16" s="3" t="n">
        <v>3016</v>
      </c>
      <c r="I16" s="3" t="n">
        <v>41470</v>
      </c>
      <c r="J16" s="3" t="n">
        <v>33176</v>
      </c>
      <c r="K16" s="3" t="n">
        <v>8294</v>
      </c>
    </row>
    <row r="17" customFormat="false" ht="15" hidden="false" customHeight="false" outlineLevel="0" collapsed="false">
      <c r="A17" s="2" t="n">
        <v>1301</v>
      </c>
      <c r="B17" s="2" t="s">
        <v>30</v>
      </c>
      <c r="C17" s="2" t="s">
        <v>20</v>
      </c>
      <c r="D17" s="2" t="s">
        <v>31</v>
      </c>
      <c r="E17" s="3" t="n">
        <v>680</v>
      </c>
      <c r="F17" s="4" t="n">
        <v>0.2</v>
      </c>
      <c r="G17" s="2" t="n">
        <v>40</v>
      </c>
      <c r="H17" s="3" t="n">
        <v>340</v>
      </c>
      <c r="I17" s="3" t="n">
        <v>21760</v>
      </c>
      <c r="J17" s="3" t="n">
        <v>13600</v>
      </c>
      <c r="K17" s="3" t="n">
        <v>8160</v>
      </c>
    </row>
    <row r="18" customFormat="false" ht="15" hidden="false" customHeight="false" outlineLevel="0" collapsed="false">
      <c r="A18" s="2" t="n">
        <v>1226</v>
      </c>
      <c r="B18" s="2" t="s">
        <v>32</v>
      </c>
      <c r="C18" s="2" t="s">
        <v>20</v>
      </c>
      <c r="D18" s="2" t="s">
        <v>33</v>
      </c>
      <c r="E18" s="3" t="n">
        <v>1760</v>
      </c>
      <c r="F18" s="4" t="n">
        <v>0.3</v>
      </c>
      <c r="G18" s="2" t="n">
        <v>27</v>
      </c>
      <c r="H18" s="3" t="n">
        <v>880</v>
      </c>
      <c r="I18" s="3" t="n">
        <v>33264</v>
      </c>
      <c r="J18" s="3" t="n">
        <v>23760</v>
      </c>
      <c r="K18" s="3" t="n">
        <v>9504</v>
      </c>
    </row>
    <row r="19" customFormat="false" ht="15" hidden="false" customHeight="false" outlineLevel="0" collapsed="false">
      <c r="A19" s="2" t="n">
        <v>1298</v>
      </c>
      <c r="B19" s="2" t="s">
        <v>34</v>
      </c>
      <c r="C19" s="2" t="s">
        <v>20</v>
      </c>
      <c r="D19" s="2" t="s">
        <v>31</v>
      </c>
      <c r="E19" s="3" t="n">
        <v>1290</v>
      </c>
      <c r="F19" s="4" t="n">
        <v>0.3</v>
      </c>
      <c r="G19" s="2" t="n">
        <v>21</v>
      </c>
      <c r="H19" s="3" t="n">
        <v>645</v>
      </c>
      <c r="I19" s="3" t="n">
        <v>18963</v>
      </c>
      <c r="J19" s="3" t="n">
        <v>13545</v>
      </c>
      <c r="K19" s="3" t="n">
        <v>5418</v>
      </c>
    </row>
    <row r="20" customFormat="false" ht="15" hidden="false" customHeight="false" outlineLevel="0" collapsed="false">
      <c r="A20" s="2" t="n">
        <v>1087</v>
      </c>
      <c r="B20" s="2" t="s">
        <v>34</v>
      </c>
      <c r="C20" s="2" t="s">
        <v>20</v>
      </c>
      <c r="D20" s="2" t="s">
        <v>21</v>
      </c>
      <c r="E20" s="3" t="n">
        <v>2190</v>
      </c>
      <c r="F20" s="4" t="n">
        <v>0.2</v>
      </c>
      <c r="G20" s="2" t="n">
        <v>41</v>
      </c>
      <c r="H20" s="3" t="n">
        <v>1095</v>
      </c>
      <c r="I20" s="3" t="n">
        <v>71832</v>
      </c>
      <c r="J20" s="3" t="n">
        <v>44895</v>
      </c>
      <c r="K20" s="3" t="n">
        <v>26937</v>
      </c>
    </row>
    <row r="21" customFormat="false" ht="15" hidden="false" customHeight="false" outlineLevel="0" collapsed="false">
      <c r="A21" s="2" t="n">
        <v>1015</v>
      </c>
      <c r="B21" s="2" t="s">
        <v>34</v>
      </c>
      <c r="C21" s="2" t="s">
        <v>15</v>
      </c>
      <c r="D21" s="2" t="s">
        <v>35</v>
      </c>
      <c r="E21" s="3" t="n">
        <v>2030</v>
      </c>
      <c r="F21" s="4" t="n">
        <v>0.3</v>
      </c>
      <c r="G21" s="2" t="n">
        <v>29</v>
      </c>
      <c r="H21" s="3" t="n">
        <v>1258.6</v>
      </c>
      <c r="I21" s="3" t="n">
        <v>41209</v>
      </c>
      <c r="J21" s="3" t="n">
        <v>36499.4</v>
      </c>
      <c r="K21" s="3" t="n">
        <v>4709.6</v>
      </c>
    </row>
    <row r="22" customFormat="false" ht="15" hidden="false" customHeight="false" outlineLevel="0" collapsed="false">
      <c r="A22" s="2" t="n">
        <v>1287</v>
      </c>
      <c r="B22" s="2" t="s">
        <v>36</v>
      </c>
      <c r="C22" s="2" t="s">
        <v>20</v>
      </c>
      <c r="D22" s="2" t="s">
        <v>33</v>
      </c>
      <c r="E22" s="3" t="n">
        <v>980</v>
      </c>
      <c r="F22" s="4" t="n">
        <v>0.2</v>
      </c>
      <c r="G22" s="2" t="n">
        <v>21</v>
      </c>
      <c r="H22" s="3" t="n">
        <v>490</v>
      </c>
      <c r="I22" s="3" t="n">
        <v>16464</v>
      </c>
      <c r="J22" s="3" t="n">
        <v>10290</v>
      </c>
      <c r="K22" s="3" t="n">
        <v>6174</v>
      </c>
    </row>
    <row r="23" customFormat="false" ht="15" hidden="false" customHeight="false" outlineLevel="0" collapsed="false">
      <c r="A23" s="2" t="n">
        <v>1114</v>
      </c>
      <c r="B23" s="2" t="s">
        <v>36</v>
      </c>
      <c r="C23" s="2" t="s">
        <v>12</v>
      </c>
      <c r="D23" s="2" t="s">
        <v>13</v>
      </c>
      <c r="E23" s="3" t="n">
        <v>1900</v>
      </c>
      <c r="F23" s="4" t="n">
        <v>0.1</v>
      </c>
      <c r="G23" s="2" t="n">
        <v>24</v>
      </c>
      <c r="H23" s="3" t="n">
        <v>1520</v>
      </c>
      <c r="I23" s="3" t="n">
        <v>41040</v>
      </c>
      <c r="J23" s="3" t="n">
        <v>36480</v>
      </c>
      <c r="K23" s="3" t="n">
        <v>4560</v>
      </c>
    </row>
    <row r="24" customFormat="false" ht="15" hidden="false" customHeight="false" outlineLevel="0" collapsed="false">
      <c r="A24" s="2" t="n">
        <v>1208</v>
      </c>
      <c r="B24" s="2" t="s">
        <v>36</v>
      </c>
      <c r="C24" s="2" t="s">
        <v>15</v>
      </c>
      <c r="D24" s="2" t="s">
        <v>17</v>
      </c>
      <c r="E24" s="3" t="n">
        <v>2260</v>
      </c>
      <c r="F24" s="4" t="n">
        <v>0.3</v>
      </c>
      <c r="G24" s="2" t="n">
        <v>24</v>
      </c>
      <c r="H24" s="3" t="n">
        <v>1401.2</v>
      </c>
      <c r="I24" s="3" t="n">
        <v>37968</v>
      </c>
      <c r="J24" s="3" t="n">
        <v>33628.8</v>
      </c>
      <c r="K24" s="3" t="n">
        <v>4339.2</v>
      </c>
    </row>
    <row r="25" customFormat="false" ht="15" hidden="false" customHeight="false" outlineLevel="0" collapsed="false">
      <c r="A25" s="2" t="n">
        <v>1070</v>
      </c>
      <c r="B25" s="2" t="s">
        <v>36</v>
      </c>
      <c r="C25" s="2" t="s">
        <v>15</v>
      </c>
      <c r="D25" s="2" t="s">
        <v>22</v>
      </c>
      <c r="E25" s="3" t="n">
        <v>2310</v>
      </c>
      <c r="F25" s="4" t="n">
        <v>0.4</v>
      </c>
      <c r="G25" s="2" t="n">
        <v>36</v>
      </c>
      <c r="H25" s="3" t="n">
        <v>1432.2</v>
      </c>
      <c r="I25" s="3" t="n">
        <v>49896</v>
      </c>
      <c r="J25" s="3" t="n">
        <v>51559.2</v>
      </c>
      <c r="K25" s="3" t="n">
        <v>-1663.2</v>
      </c>
    </row>
    <row r="26" customFormat="false" ht="15" hidden="false" customHeight="false" outlineLevel="0" collapsed="false">
      <c r="A26" s="2" t="n">
        <v>1129</v>
      </c>
      <c r="B26" s="2" t="s">
        <v>37</v>
      </c>
      <c r="C26" s="2" t="s">
        <v>12</v>
      </c>
      <c r="D26" s="2" t="s">
        <v>38</v>
      </c>
      <c r="E26" s="3" t="n">
        <v>3580</v>
      </c>
      <c r="F26" s="4" t="n">
        <v>0.3</v>
      </c>
      <c r="G26" s="2" t="n">
        <v>30</v>
      </c>
      <c r="H26" s="3" t="n">
        <v>2864</v>
      </c>
      <c r="I26" s="3" t="n">
        <v>75180</v>
      </c>
      <c r="J26" s="3" t="n">
        <v>85920</v>
      </c>
      <c r="K26" s="3" t="n">
        <v>-10740</v>
      </c>
    </row>
    <row r="27" customFormat="false" ht="15" hidden="false" customHeight="false" outlineLevel="0" collapsed="false">
      <c r="A27" s="2" t="n">
        <v>1086</v>
      </c>
      <c r="B27" s="2" t="s">
        <v>37</v>
      </c>
      <c r="C27" s="2" t="s">
        <v>20</v>
      </c>
      <c r="D27" s="2" t="s">
        <v>21</v>
      </c>
      <c r="E27" s="3" t="n">
        <v>2140</v>
      </c>
      <c r="F27" s="4" t="n">
        <v>0.1</v>
      </c>
      <c r="G27" s="2" t="n">
        <v>31</v>
      </c>
      <c r="H27" s="3" t="n">
        <v>1070</v>
      </c>
      <c r="I27" s="3" t="n">
        <v>59706</v>
      </c>
      <c r="J27" s="3" t="n">
        <v>33170</v>
      </c>
      <c r="K27" s="3" t="n">
        <v>26536</v>
      </c>
    </row>
    <row r="28" customFormat="false" ht="15" hidden="false" customHeight="false" outlineLevel="0" collapsed="false">
      <c r="A28" s="2" t="n">
        <v>1248</v>
      </c>
      <c r="B28" s="2" t="s">
        <v>37</v>
      </c>
      <c r="C28" s="2" t="s">
        <v>12</v>
      </c>
      <c r="D28" s="2" t="s">
        <v>27</v>
      </c>
      <c r="E28" s="3" t="n">
        <v>2700</v>
      </c>
      <c r="F28" s="4" t="n">
        <v>0.2</v>
      </c>
      <c r="G28" s="2" t="n">
        <v>24</v>
      </c>
      <c r="H28" s="3" t="n">
        <v>2160</v>
      </c>
      <c r="I28" s="3" t="n">
        <v>51840</v>
      </c>
      <c r="J28" s="3" t="n">
        <v>51840</v>
      </c>
      <c r="K28" s="3" t="n">
        <v>0</v>
      </c>
    </row>
    <row r="29" customFormat="false" ht="15" hidden="false" customHeight="false" outlineLevel="0" collapsed="false">
      <c r="A29" s="2" t="n">
        <v>1269</v>
      </c>
      <c r="B29" s="2" t="s">
        <v>39</v>
      </c>
      <c r="C29" s="2" t="s">
        <v>12</v>
      </c>
      <c r="D29" s="2" t="s">
        <v>38</v>
      </c>
      <c r="E29" s="3" t="n">
        <v>1690</v>
      </c>
      <c r="F29" s="4" t="n">
        <v>0.4</v>
      </c>
      <c r="G29" s="2" t="n">
        <v>43</v>
      </c>
      <c r="H29" s="3" t="n">
        <v>1352</v>
      </c>
      <c r="I29" s="3" t="n">
        <v>43602</v>
      </c>
      <c r="J29" s="3" t="n">
        <v>58136</v>
      </c>
      <c r="K29" s="3" t="n">
        <v>-14534</v>
      </c>
    </row>
    <row r="30" customFormat="false" ht="15" hidden="false" customHeight="false" outlineLevel="0" collapsed="false">
      <c r="A30" s="2" t="n">
        <v>1012</v>
      </c>
      <c r="B30" s="2" t="s">
        <v>39</v>
      </c>
      <c r="C30" s="2" t="s">
        <v>12</v>
      </c>
      <c r="D30" s="2" t="s">
        <v>38</v>
      </c>
      <c r="E30" s="3" t="n">
        <v>2380</v>
      </c>
      <c r="F30" s="4" t="n">
        <v>0.3</v>
      </c>
      <c r="G30" s="2" t="n">
        <v>33</v>
      </c>
      <c r="H30" s="3" t="n">
        <v>1904</v>
      </c>
      <c r="I30" s="3" t="n">
        <v>54978</v>
      </c>
      <c r="J30" s="3" t="n">
        <v>62832</v>
      </c>
      <c r="K30" s="3" t="n">
        <v>-7854</v>
      </c>
    </row>
    <row r="31" customFormat="false" ht="15" hidden="false" customHeight="false" outlineLevel="0" collapsed="false">
      <c r="A31" s="2" t="n">
        <v>1010</v>
      </c>
      <c r="B31" s="2" t="s">
        <v>39</v>
      </c>
      <c r="C31" s="2" t="s">
        <v>15</v>
      </c>
      <c r="D31" s="2" t="s">
        <v>16</v>
      </c>
      <c r="E31" s="3" t="n">
        <v>2670</v>
      </c>
      <c r="F31" s="4" t="n">
        <v>0.3</v>
      </c>
      <c r="G31" s="2" t="n">
        <v>41</v>
      </c>
      <c r="H31" s="3" t="n">
        <v>1655.4</v>
      </c>
      <c r="I31" s="3" t="n">
        <v>76629</v>
      </c>
      <c r="J31" s="3" t="n">
        <v>67871.4</v>
      </c>
      <c r="K31" s="3" t="n">
        <v>8757.6</v>
      </c>
    </row>
    <row r="32" customFormat="false" ht="15" hidden="false" customHeight="false" outlineLevel="0" collapsed="false">
      <c r="A32" s="2" t="n">
        <v>1278</v>
      </c>
      <c r="B32" s="2" t="s">
        <v>39</v>
      </c>
      <c r="C32" s="2" t="s">
        <v>12</v>
      </c>
      <c r="D32" s="2" t="s">
        <v>27</v>
      </c>
      <c r="E32" s="3" t="n">
        <v>3310</v>
      </c>
      <c r="F32" s="4" t="n">
        <v>0.4</v>
      </c>
      <c r="G32" s="2" t="n">
        <v>34</v>
      </c>
      <c r="H32" s="3" t="n">
        <v>2648</v>
      </c>
      <c r="I32" s="3" t="n">
        <v>67524</v>
      </c>
      <c r="J32" s="3" t="n">
        <v>90032</v>
      </c>
      <c r="K32" s="3" t="n">
        <v>-22508</v>
      </c>
    </row>
    <row r="33" customFormat="false" ht="15" hidden="false" customHeight="false" outlineLevel="0" collapsed="false">
      <c r="A33" s="2" t="n">
        <v>1134</v>
      </c>
      <c r="B33" s="2" t="s">
        <v>39</v>
      </c>
      <c r="C33" s="2" t="s">
        <v>20</v>
      </c>
      <c r="D33" s="2" t="s">
        <v>31</v>
      </c>
      <c r="E33" s="3" t="n">
        <v>2090</v>
      </c>
      <c r="F33" s="4" t="n">
        <v>0.2</v>
      </c>
      <c r="G33" s="2" t="n">
        <v>26</v>
      </c>
      <c r="H33" s="3" t="n">
        <v>1045</v>
      </c>
      <c r="I33" s="3" t="n">
        <v>43472</v>
      </c>
      <c r="J33" s="3" t="n">
        <v>27170</v>
      </c>
      <c r="K33" s="3" t="n">
        <v>16302</v>
      </c>
    </row>
    <row r="34" customFormat="false" ht="15" hidden="false" customHeight="false" outlineLevel="0" collapsed="false">
      <c r="A34" s="2" t="n">
        <v>1222</v>
      </c>
      <c r="B34" s="2" t="s">
        <v>39</v>
      </c>
      <c r="C34" s="2" t="s">
        <v>12</v>
      </c>
      <c r="D34" s="2" t="s">
        <v>38</v>
      </c>
      <c r="E34" s="3" t="n">
        <v>2170</v>
      </c>
      <c r="F34" s="4" t="n">
        <v>0.3</v>
      </c>
      <c r="G34" s="2" t="n">
        <v>17</v>
      </c>
      <c r="H34" s="3" t="n">
        <v>1736</v>
      </c>
      <c r="I34" s="3" t="n">
        <v>25823</v>
      </c>
      <c r="J34" s="3" t="n">
        <v>29512</v>
      </c>
      <c r="K34" s="3" t="n">
        <v>-3689</v>
      </c>
    </row>
    <row r="35" customFormat="false" ht="15" hidden="false" customHeight="false" outlineLevel="0" collapsed="false">
      <c r="A35" s="2" t="n">
        <v>1185</v>
      </c>
      <c r="B35" s="2" t="s">
        <v>40</v>
      </c>
      <c r="C35" s="2" t="s">
        <v>12</v>
      </c>
      <c r="D35" s="2" t="s">
        <v>38</v>
      </c>
      <c r="E35" s="3" t="n">
        <v>3810</v>
      </c>
      <c r="F35" s="4" t="n">
        <v>0</v>
      </c>
      <c r="G35" s="2" t="n">
        <v>21</v>
      </c>
      <c r="H35" s="3" t="n">
        <v>3048</v>
      </c>
      <c r="I35" s="3" t="n">
        <v>80010</v>
      </c>
      <c r="J35" s="3" t="n">
        <v>64008</v>
      </c>
      <c r="K35" s="3" t="n">
        <v>16002</v>
      </c>
    </row>
    <row r="36" customFormat="false" ht="15" hidden="false" customHeight="false" outlineLevel="0" collapsed="false">
      <c r="A36" s="2" t="n">
        <v>1211</v>
      </c>
      <c r="B36" s="2" t="s">
        <v>41</v>
      </c>
      <c r="C36" s="2" t="s">
        <v>20</v>
      </c>
      <c r="D36" s="2" t="s">
        <v>31</v>
      </c>
      <c r="E36" s="3" t="n">
        <v>1760</v>
      </c>
      <c r="F36" s="4" t="n">
        <v>0.3</v>
      </c>
      <c r="G36" s="2" t="n">
        <v>18</v>
      </c>
      <c r="H36" s="3" t="n">
        <v>880</v>
      </c>
      <c r="I36" s="3" t="n">
        <v>22176</v>
      </c>
      <c r="J36" s="3" t="n">
        <v>15840</v>
      </c>
      <c r="K36" s="3" t="n">
        <v>6336</v>
      </c>
    </row>
    <row r="37" customFormat="false" ht="15" hidden="false" customHeight="false" outlineLevel="0" collapsed="false">
      <c r="A37" s="2" t="n">
        <v>1112</v>
      </c>
      <c r="B37" s="2" t="s">
        <v>42</v>
      </c>
      <c r="C37" s="2" t="s">
        <v>20</v>
      </c>
      <c r="D37" s="2" t="s">
        <v>21</v>
      </c>
      <c r="E37" s="3" t="n">
        <v>1640</v>
      </c>
      <c r="F37" s="4" t="n">
        <v>0.2</v>
      </c>
      <c r="G37" s="2" t="n">
        <v>31</v>
      </c>
      <c r="H37" s="3" t="n">
        <v>820</v>
      </c>
      <c r="I37" s="3" t="n">
        <v>40672</v>
      </c>
      <c r="J37" s="3" t="n">
        <v>25420</v>
      </c>
      <c r="K37" s="3" t="n">
        <v>15252</v>
      </c>
    </row>
    <row r="38" customFormat="false" ht="15" hidden="false" customHeight="false" outlineLevel="0" collapsed="false">
      <c r="A38" s="2" t="n">
        <v>1243</v>
      </c>
      <c r="B38" s="2" t="s">
        <v>42</v>
      </c>
      <c r="C38" s="2" t="s">
        <v>15</v>
      </c>
      <c r="D38" s="2" t="s">
        <v>35</v>
      </c>
      <c r="E38" s="3" t="n">
        <v>1210</v>
      </c>
      <c r="F38" s="4" t="n">
        <v>0.2</v>
      </c>
      <c r="G38" s="2" t="n">
        <v>30</v>
      </c>
      <c r="H38" s="3" t="n">
        <v>750.2</v>
      </c>
      <c r="I38" s="3" t="n">
        <v>29040</v>
      </c>
      <c r="J38" s="3" t="n">
        <v>22506</v>
      </c>
      <c r="K38" s="3" t="n">
        <v>6534</v>
      </c>
    </row>
    <row r="39" customFormat="false" ht="15" hidden="false" customHeight="false" outlineLevel="0" collapsed="false">
      <c r="A39" s="2" t="n">
        <v>1055</v>
      </c>
      <c r="B39" s="2" t="s">
        <v>43</v>
      </c>
      <c r="C39" s="2" t="s">
        <v>12</v>
      </c>
      <c r="D39" s="2" t="s">
        <v>29</v>
      </c>
      <c r="E39" s="3" t="n">
        <v>2900</v>
      </c>
      <c r="F39" s="4" t="n">
        <v>0.2</v>
      </c>
      <c r="G39" s="2" t="n">
        <v>38</v>
      </c>
      <c r="H39" s="3" t="n">
        <v>2320</v>
      </c>
      <c r="I39" s="3" t="n">
        <v>88160</v>
      </c>
      <c r="J39" s="3" t="n">
        <v>88160</v>
      </c>
      <c r="K39" s="3" t="n">
        <v>0</v>
      </c>
    </row>
    <row r="40" customFormat="false" ht="15" hidden="false" customHeight="false" outlineLevel="0" collapsed="false">
      <c r="A40" s="2" t="n">
        <v>1252</v>
      </c>
      <c r="B40" s="2" t="s">
        <v>44</v>
      </c>
      <c r="C40" s="2" t="s">
        <v>20</v>
      </c>
      <c r="D40" s="2" t="s">
        <v>33</v>
      </c>
      <c r="E40" s="3" t="n">
        <v>460</v>
      </c>
      <c r="F40" s="4" t="n">
        <v>0.1</v>
      </c>
      <c r="G40" s="2" t="n">
        <v>22</v>
      </c>
      <c r="H40" s="3" t="n">
        <v>230</v>
      </c>
      <c r="I40" s="3" t="n">
        <v>9108</v>
      </c>
      <c r="J40" s="3" t="n">
        <v>5060</v>
      </c>
      <c r="K40" s="3" t="n">
        <v>4048</v>
      </c>
    </row>
    <row r="41" customFormat="false" ht="15" hidden="false" customHeight="false" outlineLevel="0" collapsed="false">
      <c r="A41" s="2" t="n">
        <v>1305</v>
      </c>
      <c r="B41" s="2" t="s">
        <v>44</v>
      </c>
      <c r="C41" s="2" t="s">
        <v>12</v>
      </c>
      <c r="D41" s="2" t="s">
        <v>38</v>
      </c>
      <c r="E41" s="3" t="n">
        <v>3760</v>
      </c>
      <c r="F41" s="4" t="n">
        <v>0.3</v>
      </c>
      <c r="G41" s="2" t="n">
        <v>42</v>
      </c>
      <c r="H41" s="3" t="n">
        <v>3008</v>
      </c>
      <c r="I41" s="3" t="n">
        <v>110544</v>
      </c>
      <c r="J41" s="3" t="n">
        <v>126336</v>
      </c>
      <c r="K41" s="3" t="n">
        <v>-15792</v>
      </c>
    </row>
    <row r="42" customFormat="false" ht="15" hidden="false" customHeight="false" outlineLevel="0" collapsed="false">
      <c r="A42" s="2" t="n">
        <v>1041</v>
      </c>
      <c r="B42" s="2" t="s">
        <v>45</v>
      </c>
      <c r="C42" s="2" t="s">
        <v>15</v>
      </c>
      <c r="D42" s="2" t="s">
        <v>35</v>
      </c>
      <c r="E42" s="3" t="n">
        <v>1150</v>
      </c>
      <c r="F42" s="4" t="n">
        <v>0.4</v>
      </c>
      <c r="G42" s="2" t="n">
        <v>30</v>
      </c>
      <c r="H42" s="3" t="n">
        <v>713</v>
      </c>
      <c r="I42" s="3" t="n">
        <v>20700</v>
      </c>
      <c r="J42" s="3" t="n">
        <v>21390</v>
      </c>
      <c r="K42" s="3" t="n">
        <v>-690</v>
      </c>
    </row>
    <row r="43" customFormat="false" ht="15" hidden="false" customHeight="false" outlineLevel="0" collapsed="false">
      <c r="A43" s="2" t="n">
        <v>1217</v>
      </c>
      <c r="B43" s="2" t="s">
        <v>45</v>
      </c>
      <c r="C43" s="2" t="s">
        <v>15</v>
      </c>
      <c r="D43" s="2" t="s">
        <v>35</v>
      </c>
      <c r="E43" s="3" t="n">
        <v>1200</v>
      </c>
      <c r="F43" s="4" t="n">
        <v>0</v>
      </c>
      <c r="G43" s="2" t="n">
        <v>16</v>
      </c>
      <c r="H43" s="3" t="n">
        <v>744</v>
      </c>
      <c r="I43" s="3" t="n">
        <v>19200</v>
      </c>
      <c r="J43" s="3" t="n">
        <v>11904</v>
      </c>
      <c r="K43" s="3" t="n">
        <v>7296</v>
      </c>
    </row>
    <row r="44" customFormat="false" ht="15" hidden="false" customHeight="false" outlineLevel="0" collapsed="false">
      <c r="A44" s="2" t="n">
        <v>1002</v>
      </c>
      <c r="B44" s="2" t="s">
        <v>45</v>
      </c>
      <c r="C44" s="2" t="s">
        <v>15</v>
      </c>
      <c r="D44" s="2" t="s">
        <v>22</v>
      </c>
      <c r="E44" s="3" t="n">
        <v>2730</v>
      </c>
      <c r="F44" s="4" t="n">
        <v>0.3</v>
      </c>
      <c r="G44" s="2" t="n">
        <v>20</v>
      </c>
      <c r="H44" s="3" t="n">
        <v>1692.6</v>
      </c>
      <c r="I44" s="3" t="n">
        <v>38220</v>
      </c>
      <c r="J44" s="3" t="n">
        <v>33852</v>
      </c>
      <c r="K44" s="3" t="n">
        <v>4368</v>
      </c>
    </row>
    <row r="45" customFormat="false" ht="15" hidden="false" customHeight="false" outlineLevel="0" collapsed="false">
      <c r="A45" s="2" t="n">
        <v>1270</v>
      </c>
      <c r="B45" s="2" t="s">
        <v>45</v>
      </c>
      <c r="C45" s="2" t="s">
        <v>20</v>
      </c>
      <c r="D45" s="2" t="s">
        <v>24</v>
      </c>
      <c r="E45" s="3" t="n">
        <v>1390</v>
      </c>
      <c r="F45" s="4" t="n">
        <v>0.1</v>
      </c>
      <c r="G45" s="2" t="n">
        <v>29</v>
      </c>
      <c r="H45" s="3" t="n">
        <v>695</v>
      </c>
      <c r="I45" s="3" t="n">
        <v>36279</v>
      </c>
      <c r="J45" s="3" t="n">
        <v>20155</v>
      </c>
      <c r="K45" s="3" t="n">
        <v>16124</v>
      </c>
    </row>
    <row r="46" customFormat="false" ht="15" hidden="false" customHeight="false" outlineLevel="0" collapsed="false">
      <c r="A46" s="2" t="n">
        <v>1165</v>
      </c>
      <c r="B46" s="2" t="s">
        <v>46</v>
      </c>
      <c r="C46" s="2" t="s">
        <v>20</v>
      </c>
      <c r="D46" s="2" t="s">
        <v>33</v>
      </c>
      <c r="E46" s="3" t="n">
        <v>880</v>
      </c>
      <c r="F46" s="4" t="n">
        <v>0.1</v>
      </c>
      <c r="G46" s="2" t="n">
        <v>26</v>
      </c>
      <c r="H46" s="3" t="n">
        <v>440</v>
      </c>
      <c r="I46" s="3" t="n">
        <v>20592</v>
      </c>
      <c r="J46" s="3" t="n">
        <v>11440</v>
      </c>
      <c r="K46" s="3" t="n">
        <v>9152</v>
      </c>
    </row>
    <row r="47" customFormat="false" ht="15" hidden="false" customHeight="false" outlineLevel="0" collapsed="false">
      <c r="A47" s="2" t="n">
        <v>1140</v>
      </c>
      <c r="B47" s="2" t="s">
        <v>47</v>
      </c>
      <c r="C47" s="2" t="s">
        <v>20</v>
      </c>
      <c r="D47" s="2" t="s">
        <v>33</v>
      </c>
      <c r="E47" s="3" t="n">
        <v>1890</v>
      </c>
      <c r="F47" s="4" t="n">
        <v>0.1</v>
      </c>
      <c r="G47" s="2" t="n">
        <v>21</v>
      </c>
      <c r="H47" s="3" t="n">
        <v>945</v>
      </c>
      <c r="I47" s="3" t="n">
        <v>35721</v>
      </c>
      <c r="J47" s="3" t="n">
        <v>19845</v>
      </c>
      <c r="K47" s="3" t="n">
        <v>15876</v>
      </c>
    </row>
    <row r="48" customFormat="false" ht="15" hidden="false" customHeight="false" outlineLevel="0" collapsed="false">
      <c r="A48" s="2" t="n">
        <v>1175</v>
      </c>
      <c r="B48" s="2" t="s">
        <v>48</v>
      </c>
      <c r="C48" s="2" t="s">
        <v>12</v>
      </c>
      <c r="D48" s="2" t="s">
        <v>38</v>
      </c>
      <c r="E48" s="3" t="n">
        <v>3600</v>
      </c>
      <c r="F48" s="4" t="n">
        <v>0</v>
      </c>
      <c r="G48" s="2" t="n">
        <v>19</v>
      </c>
      <c r="H48" s="3" t="n">
        <v>2880</v>
      </c>
      <c r="I48" s="3" t="n">
        <v>68400</v>
      </c>
      <c r="J48" s="3" t="n">
        <v>54720</v>
      </c>
      <c r="K48" s="3" t="n">
        <v>13680</v>
      </c>
    </row>
    <row r="49" customFormat="false" ht="15" hidden="false" customHeight="false" outlineLevel="0" collapsed="false">
      <c r="A49" s="2" t="n">
        <v>1219</v>
      </c>
      <c r="B49" s="2" t="s">
        <v>48</v>
      </c>
      <c r="C49" s="2" t="s">
        <v>20</v>
      </c>
      <c r="D49" s="2" t="s">
        <v>33</v>
      </c>
      <c r="E49" s="3" t="n">
        <v>980</v>
      </c>
      <c r="F49" s="4" t="n">
        <v>0.1</v>
      </c>
      <c r="G49" s="2" t="n">
        <v>12</v>
      </c>
      <c r="H49" s="3" t="n">
        <v>490</v>
      </c>
      <c r="I49" s="3" t="n">
        <v>10584</v>
      </c>
      <c r="J49" s="3" t="n">
        <v>5880</v>
      </c>
      <c r="K49" s="3" t="n">
        <v>4704</v>
      </c>
    </row>
    <row r="50" customFormat="false" ht="15" hidden="false" customHeight="false" outlineLevel="0" collapsed="false">
      <c r="A50" s="2" t="n">
        <v>1179</v>
      </c>
      <c r="B50" s="2" t="s">
        <v>48</v>
      </c>
      <c r="C50" s="2" t="s">
        <v>20</v>
      </c>
      <c r="D50" s="2" t="s">
        <v>33</v>
      </c>
      <c r="E50" s="3" t="n">
        <v>1770</v>
      </c>
      <c r="F50" s="4" t="n">
        <v>0.4</v>
      </c>
      <c r="G50" s="2" t="n">
        <v>50</v>
      </c>
      <c r="H50" s="3" t="n">
        <v>885</v>
      </c>
      <c r="I50" s="3" t="n">
        <v>53100</v>
      </c>
      <c r="J50" s="3" t="n">
        <v>44250</v>
      </c>
      <c r="K50" s="3" t="n">
        <v>8850</v>
      </c>
    </row>
    <row r="51" customFormat="false" ht="15" hidden="false" customHeight="false" outlineLevel="0" collapsed="false">
      <c r="A51" s="2" t="n">
        <v>1214</v>
      </c>
      <c r="B51" s="2" t="s">
        <v>49</v>
      </c>
      <c r="C51" s="2" t="s">
        <v>15</v>
      </c>
      <c r="D51" s="2" t="s">
        <v>35</v>
      </c>
      <c r="E51" s="3" t="n">
        <v>1680</v>
      </c>
      <c r="F51" s="4" t="n">
        <v>0.2</v>
      </c>
      <c r="G51" s="2" t="n">
        <v>31</v>
      </c>
      <c r="H51" s="3" t="n">
        <v>1041.6</v>
      </c>
      <c r="I51" s="3" t="n">
        <v>41664</v>
      </c>
      <c r="J51" s="3" t="n">
        <v>32289.6</v>
      </c>
      <c r="K51" s="3" t="n">
        <v>9374.4</v>
      </c>
    </row>
    <row r="52" customFormat="false" ht="15" hidden="false" customHeight="false" outlineLevel="0" collapsed="false">
      <c r="A52" s="2" t="n">
        <v>1109</v>
      </c>
      <c r="B52" s="2" t="s">
        <v>49</v>
      </c>
      <c r="C52" s="2" t="s">
        <v>12</v>
      </c>
      <c r="D52" s="2" t="s">
        <v>27</v>
      </c>
      <c r="E52" s="3" t="n">
        <v>3270</v>
      </c>
      <c r="F52" s="4" t="n">
        <v>0.2</v>
      </c>
      <c r="G52" s="2" t="n">
        <v>33</v>
      </c>
      <c r="H52" s="3" t="n">
        <v>2616</v>
      </c>
      <c r="I52" s="3" t="n">
        <v>86328</v>
      </c>
      <c r="J52" s="3" t="n">
        <v>86328</v>
      </c>
      <c r="K52" s="3" t="n">
        <v>0</v>
      </c>
    </row>
    <row r="53" customFormat="false" ht="15" hidden="false" customHeight="false" outlineLevel="0" collapsed="false">
      <c r="A53" s="2" t="n">
        <v>1108</v>
      </c>
      <c r="B53" s="2" t="s">
        <v>49</v>
      </c>
      <c r="C53" s="2" t="s">
        <v>15</v>
      </c>
      <c r="D53" s="2" t="s">
        <v>17</v>
      </c>
      <c r="E53" s="3" t="n">
        <v>880</v>
      </c>
      <c r="F53" s="4" t="n">
        <v>0.1</v>
      </c>
      <c r="G53" s="2" t="n">
        <v>26</v>
      </c>
      <c r="H53" s="3" t="n">
        <v>545.6</v>
      </c>
      <c r="I53" s="3" t="n">
        <v>20592</v>
      </c>
      <c r="J53" s="3" t="n">
        <v>14185.6</v>
      </c>
      <c r="K53" s="3" t="n">
        <v>6406.4</v>
      </c>
    </row>
    <row r="54" customFormat="false" ht="15" hidden="false" customHeight="false" outlineLevel="0" collapsed="false">
      <c r="A54" s="2" t="n">
        <v>1212</v>
      </c>
      <c r="B54" s="2" t="s">
        <v>50</v>
      </c>
      <c r="C54" s="2" t="s">
        <v>15</v>
      </c>
      <c r="D54" s="2" t="s">
        <v>22</v>
      </c>
      <c r="E54" s="3" t="n">
        <v>1880</v>
      </c>
      <c r="F54" s="4" t="n">
        <v>0</v>
      </c>
      <c r="G54" s="2" t="n">
        <v>24</v>
      </c>
      <c r="H54" s="3" t="n">
        <v>1165.6</v>
      </c>
      <c r="I54" s="3" t="n">
        <v>45120</v>
      </c>
      <c r="J54" s="3" t="n">
        <v>27974.4</v>
      </c>
      <c r="K54" s="3" t="n">
        <v>17145.6</v>
      </c>
    </row>
    <row r="55" customFormat="false" ht="15" hidden="false" customHeight="false" outlineLevel="0" collapsed="false">
      <c r="A55" s="2" t="n">
        <v>1199</v>
      </c>
      <c r="B55" s="2" t="s">
        <v>50</v>
      </c>
      <c r="C55" s="2" t="s">
        <v>15</v>
      </c>
      <c r="D55" s="2" t="s">
        <v>22</v>
      </c>
      <c r="E55" s="3" t="n">
        <v>800</v>
      </c>
      <c r="F55" s="4" t="n">
        <v>0</v>
      </c>
      <c r="G55" s="2" t="n">
        <v>9</v>
      </c>
      <c r="H55" s="3" t="n">
        <v>496</v>
      </c>
      <c r="I55" s="3" t="n">
        <v>7200</v>
      </c>
      <c r="J55" s="3" t="n">
        <v>4464</v>
      </c>
      <c r="K55" s="3" t="n">
        <v>2736</v>
      </c>
    </row>
    <row r="56" customFormat="false" ht="15" hidden="false" customHeight="false" outlineLevel="0" collapsed="false">
      <c r="A56" s="2" t="n">
        <v>1143</v>
      </c>
      <c r="B56" s="2" t="s">
        <v>50</v>
      </c>
      <c r="C56" s="2" t="s">
        <v>20</v>
      </c>
      <c r="D56" s="2" t="s">
        <v>31</v>
      </c>
      <c r="E56" s="3" t="n">
        <v>1790</v>
      </c>
      <c r="F56" s="4" t="n">
        <v>0.1</v>
      </c>
      <c r="G56" s="2" t="n">
        <v>21</v>
      </c>
      <c r="H56" s="3" t="n">
        <v>895</v>
      </c>
      <c r="I56" s="3" t="n">
        <v>33831</v>
      </c>
      <c r="J56" s="3" t="n">
        <v>18795</v>
      </c>
      <c r="K56" s="3" t="n">
        <v>15036</v>
      </c>
    </row>
    <row r="57" customFormat="false" ht="15" hidden="false" customHeight="false" outlineLevel="0" collapsed="false">
      <c r="A57" s="2" t="n">
        <v>1152</v>
      </c>
      <c r="B57" s="2" t="s">
        <v>51</v>
      </c>
      <c r="C57" s="2" t="s">
        <v>12</v>
      </c>
      <c r="D57" s="2" t="s">
        <v>29</v>
      </c>
      <c r="E57" s="3" t="n">
        <v>3670</v>
      </c>
      <c r="F57" s="4" t="n">
        <v>0.2</v>
      </c>
      <c r="G57" s="2" t="n">
        <v>34</v>
      </c>
      <c r="H57" s="3" t="n">
        <v>2936</v>
      </c>
      <c r="I57" s="3" t="n">
        <v>99824</v>
      </c>
      <c r="J57" s="3" t="n">
        <v>99824</v>
      </c>
      <c r="K57" s="3" t="n">
        <v>0</v>
      </c>
    </row>
    <row r="58" customFormat="false" ht="15" hidden="false" customHeight="false" outlineLevel="0" collapsed="false">
      <c r="A58" s="2" t="n">
        <v>1290</v>
      </c>
      <c r="B58" s="2" t="s">
        <v>51</v>
      </c>
      <c r="C58" s="2" t="s">
        <v>20</v>
      </c>
      <c r="D58" s="2" t="s">
        <v>24</v>
      </c>
      <c r="E58" s="3" t="n">
        <v>1590</v>
      </c>
      <c r="F58" s="4" t="n">
        <v>0</v>
      </c>
      <c r="G58" s="2" t="n">
        <v>11</v>
      </c>
      <c r="H58" s="3" t="n">
        <v>795</v>
      </c>
      <c r="I58" s="3" t="n">
        <v>17490</v>
      </c>
      <c r="J58" s="3" t="n">
        <v>8745</v>
      </c>
      <c r="K58" s="3" t="n">
        <v>8745</v>
      </c>
    </row>
    <row r="59" customFormat="false" ht="15" hidden="false" customHeight="false" outlineLevel="0" collapsed="false">
      <c r="A59" s="2" t="n">
        <v>1260</v>
      </c>
      <c r="B59" s="2" t="s">
        <v>52</v>
      </c>
      <c r="C59" s="2" t="s">
        <v>20</v>
      </c>
      <c r="D59" s="2" t="s">
        <v>24</v>
      </c>
      <c r="E59" s="3" t="n">
        <v>1830</v>
      </c>
      <c r="F59" s="4" t="n">
        <v>0.3</v>
      </c>
      <c r="G59" s="2" t="n">
        <v>15</v>
      </c>
      <c r="H59" s="3" t="n">
        <v>915</v>
      </c>
      <c r="I59" s="3" t="n">
        <v>19215</v>
      </c>
      <c r="J59" s="3" t="n">
        <v>13725</v>
      </c>
      <c r="K59" s="3" t="n">
        <v>5490</v>
      </c>
    </row>
    <row r="60" customFormat="false" ht="15" hidden="false" customHeight="false" outlineLevel="0" collapsed="false">
      <c r="A60" s="2" t="n">
        <v>1206</v>
      </c>
      <c r="B60" s="2" t="s">
        <v>52</v>
      </c>
      <c r="C60" s="2" t="s">
        <v>20</v>
      </c>
      <c r="D60" s="2" t="s">
        <v>21</v>
      </c>
      <c r="E60" s="3" t="n">
        <v>1750</v>
      </c>
      <c r="F60" s="4" t="n">
        <v>0.4</v>
      </c>
      <c r="G60" s="2" t="n">
        <v>40</v>
      </c>
      <c r="H60" s="3" t="n">
        <v>875</v>
      </c>
      <c r="I60" s="3" t="n">
        <v>42000</v>
      </c>
      <c r="J60" s="3" t="n">
        <v>35000</v>
      </c>
      <c r="K60" s="3" t="n">
        <v>7000</v>
      </c>
    </row>
    <row r="61" customFormat="false" ht="15" hidden="false" customHeight="false" outlineLevel="0" collapsed="false">
      <c r="A61" s="2" t="n">
        <v>1294</v>
      </c>
      <c r="B61" s="2" t="s">
        <v>53</v>
      </c>
      <c r="C61" s="2" t="s">
        <v>12</v>
      </c>
      <c r="D61" s="2" t="s">
        <v>13</v>
      </c>
      <c r="E61" s="3" t="n">
        <v>3420</v>
      </c>
      <c r="F61" s="4" t="n">
        <v>0.3</v>
      </c>
      <c r="G61" s="2" t="n">
        <v>22</v>
      </c>
      <c r="H61" s="3" t="n">
        <v>2736</v>
      </c>
      <c r="I61" s="3" t="n">
        <v>52668</v>
      </c>
      <c r="J61" s="3" t="n">
        <v>60192</v>
      </c>
      <c r="K61" s="3" t="n">
        <v>-7524</v>
      </c>
    </row>
    <row r="62" customFormat="false" ht="15" hidden="false" customHeight="false" outlineLevel="0" collapsed="false">
      <c r="A62" s="2" t="n">
        <v>1213</v>
      </c>
      <c r="B62" s="2" t="s">
        <v>54</v>
      </c>
      <c r="C62" s="2" t="s">
        <v>20</v>
      </c>
      <c r="D62" s="2" t="s">
        <v>21</v>
      </c>
      <c r="E62" s="3" t="n">
        <v>1470</v>
      </c>
      <c r="F62" s="4" t="n">
        <v>0.3</v>
      </c>
      <c r="G62" s="2" t="n">
        <v>23</v>
      </c>
      <c r="H62" s="3" t="n">
        <v>735</v>
      </c>
      <c r="I62" s="3" t="n">
        <v>23667</v>
      </c>
      <c r="J62" s="3" t="n">
        <v>16905</v>
      </c>
      <c r="K62" s="3" t="n">
        <v>6762</v>
      </c>
    </row>
    <row r="63" customFormat="false" ht="15" hidden="false" customHeight="false" outlineLevel="0" collapsed="false">
      <c r="A63" s="2" t="n">
        <v>1319</v>
      </c>
      <c r="B63" s="2" t="s">
        <v>55</v>
      </c>
      <c r="C63" s="2" t="s">
        <v>12</v>
      </c>
      <c r="D63" s="2" t="s">
        <v>13</v>
      </c>
      <c r="E63" s="3" t="n">
        <v>3970</v>
      </c>
      <c r="F63" s="4" t="n">
        <v>0.1</v>
      </c>
      <c r="G63" s="2" t="n">
        <v>20</v>
      </c>
      <c r="H63" s="3" t="n">
        <v>3176</v>
      </c>
      <c r="I63" s="3" t="n">
        <v>71460</v>
      </c>
      <c r="J63" s="3" t="n">
        <v>63520</v>
      </c>
      <c r="K63" s="3" t="n">
        <v>7940</v>
      </c>
    </row>
    <row r="64" customFormat="false" ht="15" hidden="false" customHeight="false" outlineLevel="0" collapsed="false">
      <c r="A64" s="2" t="n">
        <v>1266</v>
      </c>
      <c r="B64" s="2" t="s">
        <v>56</v>
      </c>
      <c r="C64" s="2" t="s">
        <v>12</v>
      </c>
      <c r="D64" s="2" t="s">
        <v>27</v>
      </c>
      <c r="E64" s="3" t="n">
        <v>2480</v>
      </c>
      <c r="F64" s="4" t="n">
        <v>0</v>
      </c>
      <c r="G64" s="2" t="n">
        <v>7</v>
      </c>
      <c r="H64" s="3" t="n">
        <v>1984</v>
      </c>
      <c r="I64" s="3" t="n">
        <v>17360</v>
      </c>
      <c r="J64" s="3" t="n">
        <v>13888</v>
      </c>
      <c r="K64" s="3" t="n">
        <v>3472</v>
      </c>
    </row>
    <row r="65" customFormat="false" ht="15" hidden="false" customHeight="false" outlineLevel="0" collapsed="false">
      <c r="A65" s="2" t="n">
        <v>1128</v>
      </c>
      <c r="B65" s="2" t="s">
        <v>56</v>
      </c>
      <c r="C65" s="2" t="s">
        <v>15</v>
      </c>
      <c r="D65" s="2" t="s">
        <v>22</v>
      </c>
      <c r="E65" s="3" t="n">
        <v>2210</v>
      </c>
      <c r="F65" s="4" t="n">
        <v>0</v>
      </c>
      <c r="G65" s="2" t="n">
        <v>8</v>
      </c>
      <c r="H65" s="3" t="n">
        <v>1370.2</v>
      </c>
      <c r="I65" s="3" t="n">
        <v>17680</v>
      </c>
      <c r="J65" s="3" t="n">
        <v>10961.6</v>
      </c>
      <c r="K65" s="3" t="n">
        <v>6718.4</v>
      </c>
    </row>
    <row r="66" customFormat="false" ht="15" hidden="false" customHeight="false" outlineLevel="0" collapsed="false">
      <c r="A66" s="2" t="n">
        <v>1238</v>
      </c>
      <c r="B66" s="2" t="s">
        <v>56</v>
      </c>
      <c r="C66" s="2" t="s">
        <v>12</v>
      </c>
      <c r="D66" s="2" t="s">
        <v>38</v>
      </c>
      <c r="E66" s="3" t="n">
        <v>2990</v>
      </c>
      <c r="F66" s="4" t="n">
        <v>0.2</v>
      </c>
      <c r="G66" s="2" t="n">
        <v>14</v>
      </c>
      <c r="H66" s="3" t="n">
        <v>2392</v>
      </c>
      <c r="I66" s="3" t="n">
        <v>33488</v>
      </c>
      <c r="J66" s="3" t="n">
        <v>33488</v>
      </c>
      <c r="K66" s="3" t="n">
        <v>0</v>
      </c>
    </row>
    <row r="67" customFormat="false" ht="15" hidden="false" customHeight="false" outlineLevel="0" collapsed="false">
      <c r="A67" s="2" t="n">
        <v>1016</v>
      </c>
      <c r="B67" s="2" t="s">
        <v>56</v>
      </c>
      <c r="C67" s="2" t="s">
        <v>15</v>
      </c>
      <c r="D67" s="2" t="s">
        <v>22</v>
      </c>
      <c r="E67" s="3" t="n">
        <v>740</v>
      </c>
      <c r="F67" s="4" t="n">
        <v>0.4</v>
      </c>
      <c r="G67" s="2" t="n">
        <v>20</v>
      </c>
      <c r="H67" s="3" t="n">
        <v>458.8</v>
      </c>
      <c r="I67" s="3" t="n">
        <v>8880</v>
      </c>
      <c r="J67" s="3" t="n">
        <v>9176</v>
      </c>
      <c r="K67" s="3" t="n">
        <v>-296</v>
      </c>
    </row>
    <row r="68" customFormat="false" ht="15" hidden="false" customHeight="false" outlineLevel="0" collapsed="false">
      <c r="A68" s="2" t="n">
        <v>1069</v>
      </c>
      <c r="B68" s="2" t="s">
        <v>57</v>
      </c>
      <c r="C68" s="2" t="s">
        <v>15</v>
      </c>
      <c r="D68" s="2" t="s">
        <v>22</v>
      </c>
      <c r="E68" s="3" t="n">
        <v>2250</v>
      </c>
      <c r="F68" s="4" t="n">
        <v>0.2</v>
      </c>
      <c r="G68" s="2" t="n">
        <v>42</v>
      </c>
      <c r="H68" s="3" t="n">
        <v>1395</v>
      </c>
      <c r="I68" s="3" t="n">
        <v>75600</v>
      </c>
      <c r="J68" s="3" t="n">
        <v>58590</v>
      </c>
      <c r="K68" s="3" t="n">
        <v>17010</v>
      </c>
    </row>
    <row r="69" customFormat="false" ht="15" hidden="false" customHeight="false" outlineLevel="0" collapsed="false">
      <c r="A69" s="2" t="n">
        <v>1295</v>
      </c>
      <c r="B69" s="2" t="s">
        <v>57</v>
      </c>
      <c r="C69" s="2" t="s">
        <v>12</v>
      </c>
      <c r="D69" s="2" t="s">
        <v>13</v>
      </c>
      <c r="E69" s="3" t="n">
        <v>3930</v>
      </c>
      <c r="F69" s="4" t="n">
        <v>0.3</v>
      </c>
      <c r="G69" s="2" t="n">
        <v>14</v>
      </c>
      <c r="H69" s="3" t="n">
        <v>3144</v>
      </c>
      <c r="I69" s="3" t="n">
        <v>38514</v>
      </c>
      <c r="J69" s="3" t="n">
        <v>44016</v>
      </c>
      <c r="K69" s="3" t="n">
        <v>-5502</v>
      </c>
    </row>
    <row r="70" customFormat="false" ht="15" hidden="false" customHeight="false" outlineLevel="0" collapsed="false">
      <c r="A70" s="2" t="n">
        <v>1190</v>
      </c>
      <c r="B70" s="2" t="s">
        <v>58</v>
      </c>
      <c r="C70" s="2" t="s">
        <v>20</v>
      </c>
      <c r="D70" s="2" t="s">
        <v>33</v>
      </c>
      <c r="E70" s="3" t="n">
        <v>1040</v>
      </c>
      <c r="F70" s="4" t="n">
        <v>0.1</v>
      </c>
      <c r="G70" s="2" t="n">
        <v>16</v>
      </c>
      <c r="H70" s="3" t="n">
        <v>520</v>
      </c>
      <c r="I70" s="3" t="n">
        <v>14976</v>
      </c>
      <c r="J70" s="3" t="n">
        <v>8320</v>
      </c>
      <c r="K70" s="3" t="n">
        <v>6656</v>
      </c>
    </row>
    <row r="71" customFormat="false" ht="15" hidden="false" customHeight="false" outlineLevel="0" collapsed="false">
      <c r="A71" s="2" t="n">
        <v>1162</v>
      </c>
      <c r="B71" s="2" t="s">
        <v>58</v>
      </c>
      <c r="C71" s="2" t="s">
        <v>20</v>
      </c>
      <c r="D71" s="2" t="s">
        <v>31</v>
      </c>
      <c r="E71" s="3" t="n">
        <v>1890</v>
      </c>
      <c r="F71" s="4" t="n">
        <v>0.2</v>
      </c>
      <c r="G71" s="2" t="n">
        <v>34</v>
      </c>
      <c r="H71" s="3" t="n">
        <v>945</v>
      </c>
      <c r="I71" s="3" t="n">
        <v>51408</v>
      </c>
      <c r="J71" s="3" t="n">
        <v>32130</v>
      </c>
      <c r="K71" s="3" t="n">
        <v>19278</v>
      </c>
    </row>
    <row r="72" customFormat="false" ht="15" hidden="false" customHeight="false" outlineLevel="0" collapsed="false">
      <c r="A72" s="2" t="n">
        <v>1166</v>
      </c>
      <c r="B72" s="2" t="s">
        <v>58</v>
      </c>
      <c r="C72" s="2" t="s">
        <v>20</v>
      </c>
      <c r="D72" s="2" t="s">
        <v>31</v>
      </c>
      <c r="E72" s="3" t="n">
        <v>2170</v>
      </c>
      <c r="F72" s="4" t="n">
        <v>0.1</v>
      </c>
      <c r="G72" s="2" t="n">
        <v>29</v>
      </c>
      <c r="H72" s="3" t="n">
        <v>1085</v>
      </c>
      <c r="I72" s="3" t="n">
        <v>56637</v>
      </c>
      <c r="J72" s="3" t="n">
        <v>31465</v>
      </c>
      <c r="K72" s="3" t="n">
        <v>25172</v>
      </c>
    </row>
    <row r="73" customFormat="false" ht="15" hidden="false" customHeight="false" outlineLevel="0" collapsed="false">
      <c r="A73" s="2" t="n">
        <v>1192</v>
      </c>
      <c r="B73" s="2" t="s">
        <v>59</v>
      </c>
      <c r="C73" s="2" t="s">
        <v>20</v>
      </c>
      <c r="D73" s="2" t="s">
        <v>31</v>
      </c>
      <c r="E73" s="3" t="n">
        <v>1840</v>
      </c>
      <c r="F73" s="4" t="n">
        <v>0.4</v>
      </c>
      <c r="G73" s="2" t="n">
        <v>36</v>
      </c>
      <c r="H73" s="3" t="n">
        <v>920</v>
      </c>
      <c r="I73" s="3" t="n">
        <v>39744</v>
      </c>
      <c r="J73" s="3" t="n">
        <v>33120</v>
      </c>
      <c r="K73" s="3" t="n">
        <v>6624</v>
      </c>
    </row>
    <row r="74" customFormat="false" ht="15" hidden="false" customHeight="false" outlineLevel="0" collapsed="false">
      <c r="A74" s="2" t="n">
        <v>1215</v>
      </c>
      <c r="B74" s="2" t="s">
        <v>59</v>
      </c>
      <c r="C74" s="2" t="s">
        <v>15</v>
      </c>
      <c r="D74" s="2" t="s">
        <v>17</v>
      </c>
      <c r="E74" s="3" t="n">
        <v>1630</v>
      </c>
      <c r="F74" s="4" t="n">
        <v>0.3</v>
      </c>
      <c r="G74" s="2" t="n">
        <v>39</v>
      </c>
      <c r="H74" s="3" t="n">
        <v>1010.6</v>
      </c>
      <c r="I74" s="3" t="n">
        <v>44499</v>
      </c>
      <c r="J74" s="3" t="n">
        <v>39413.4</v>
      </c>
      <c r="K74" s="3" t="n">
        <v>5085.6</v>
      </c>
    </row>
    <row r="75" customFormat="false" ht="15" hidden="false" customHeight="false" outlineLevel="0" collapsed="false">
      <c r="A75" s="2" t="n">
        <v>1113</v>
      </c>
      <c r="B75" s="2" t="s">
        <v>59</v>
      </c>
      <c r="C75" s="2" t="s">
        <v>15</v>
      </c>
      <c r="D75" s="2" t="s">
        <v>17</v>
      </c>
      <c r="E75" s="3" t="n">
        <v>1770</v>
      </c>
      <c r="F75" s="4" t="n">
        <v>0</v>
      </c>
      <c r="G75" s="2" t="n">
        <v>11</v>
      </c>
      <c r="H75" s="3" t="n">
        <v>1097.4</v>
      </c>
      <c r="I75" s="3" t="n">
        <v>19470</v>
      </c>
      <c r="J75" s="3" t="n">
        <v>12071.4</v>
      </c>
      <c r="K75" s="3" t="n">
        <v>7398.6</v>
      </c>
    </row>
    <row r="76" customFormat="false" ht="15" hidden="false" customHeight="false" outlineLevel="0" collapsed="false">
      <c r="A76" s="2" t="n">
        <v>1081</v>
      </c>
      <c r="B76" s="2" t="s">
        <v>59</v>
      </c>
      <c r="C76" s="2" t="s">
        <v>20</v>
      </c>
      <c r="D76" s="2" t="s">
        <v>33</v>
      </c>
      <c r="E76" s="3" t="n">
        <v>1080</v>
      </c>
      <c r="F76" s="4" t="n">
        <v>0.2</v>
      </c>
      <c r="G76" s="2" t="n">
        <v>31</v>
      </c>
      <c r="H76" s="3" t="n">
        <v>540</v>
      </c>
      <c r="I76" s="3" t="n">
        <v>26784</v>
      </c>
      <c r="J76" s="3" t="n">
        <v>16740</v>
      </c>
      <c r="K76" s="3" t="n">
        <v>10044</v>
      </c>
    </row>
    <row r="77" customFormat="false" ht="15" hidden="false" customHeight="false" outlineLevel="0" collapsed="false">
      <c r="A77" s="2" t="n">
        <v>1133</v>
      </c>
      <c r="B77" s="2" t="s">
        <v>59</v>
      </c>
      <c r="C77" s="2" t="s">
        <v>12</v>
      </c>
      <c r="D77" s="2" t="s">
        <v>27</v>
      </c>
      <c r="E77" s="3" t="n">
        <v>2470</v>
      </c>
      <c r="F77" s="4" t="n">
        <v>0.4</v>
      </c>
      <c r="G77" s="2" t="n">
        <v>27</v>
      </c>
      <c r="H77" s="3" t="n">
        <v>1976</v>
      </c>
      <c r="I77" s="3" t="n">
        <v>40014</v>
      </c>
      <c r="J77" s="3" t="n">
        <v>53352</v>
      </c>
      <c r="K77" s="3" t="n">
        <v>-13338</v>
      </c>
    </row>
    <row r="78" customFormat="false" ht="15" hidden="false" customHeight="false" outlineLevel="0" collapsed="false">
      <c r="A78" s="2" t="n">
        <v>1200</v>
      </c>
      <c r="B78" s="2" t="s">
        <v>60</v>
      </c>
      <c r="C78" s="2" t="s">
        <v>12</v>
      </c>
      <c r="D78" s="2" t="s">
        <v>27</v>
      </c>
      <c r="E78" s="3" t="n">
        <v>4350</v>
      </c>
      <c r="F78" s="4" t="n">
        <v>0.3</v>
      </c>
      <c r="G78" s="2" t="n">
        <v>34</v>
      </c>
      <c r="H78" s="3" t="n">
        <v>3480</v>
      </c>
      <c r="I78" s="3" t="n">
        <v>103530</v>
      </c>
      <c r="J78" s="3" t="n">
        <v>118320</v>
      </c>
      <c r="K78" s="3" t="n">
        <v>-14790</v>
      </c>
    </row>
    <row r="79" customFormat="false" ht="15" hidden="false" customHeight="false" outlineLevel="0" collapsed="false">
      <c r="A79" s="2" t="n">
        <v>1232</v>
      </c>
      <c r="B79" s="2" t="s">
        <v>61</v>
      </c>
      <c r="C79" s="2" t="s">
        <v>20</v>
      </c>
      <c r="D79" s="2" t="s">
        <v>21</v>
      </c>
      <c r="E79" s="3" t="n">
        <v>460</v>
      </c>
      <c r="F79" s="4" t="n">
        <v>0</v>
      </c>
      <c r="G79" s="2" t="n">
        <v>14</v>
      </c>
      <c r="H79" s="3" t="n">
        <v>230</v>
      </c>
      <c r="I79" s="3" t="n">
        <v>6440</v>
      </c>
      <c r="J79" s="3" t="n">
        <v>3220</v>
      </c>
      <c r="K79" s="3" t="n">
        <v>3220</v>
      </c>
    </row>
    <row r="80" customFormat="false" ht="15" hidden="false" customHeight="false" outlineLevel="0" collapsed="false">
      <c r="A80" s="2" t="n">
        <v>1245</v>
      </c>
      <c r="B80" s="2" t="s">
        <v>61</v>
      </c>
      <c r="C80" s="2" t="s">
        <v>15</v>
      </c>
      <c r="D80" s="2" t="s">
        <v>16</v>
      </c>
      <c r="E80" s="3" t="n">
        <v>1420</v>
      </c>
      <c r="F80" s="4" t="n">
        <v>0.1</v>
      </c>
      <c r="G80" s="2" t="n">
        <v>18</v>
      </c>
      <c r="H80" s="3" t="n">
        <v>880.4</v>
      </c>
      <c r="I80" s="3" t="n">
        <v>23004</v>
      </c>
      <c r="J80" s="3" t="n">
        <v>15847.2</v>
      </c>
      <c r="K80" s="3" t="n">
        <v>7156.8</v>
      </c>
    </row>
    <row r="81" customFormat="false" ht="15" hidden="false" customHeight="false" outlineLevel="0" collapsed="false">
      <c r="A81" s="2" t="n">
        <v>1317</v>
      </c>
      <c r="B81" s="2" t="s">
        <v>62</v>
      </c>
      <c r="C81" s="2" t="s">
        <v>15</v>
      </c>
      <c r="D81" s="2" t="s">
        <v>16</v>
      </c>
      <c r="E81" s="3" t="n">
        <v>2380</v>
      </c>
      <c r="F81" s="4" t="n">
        <v>0.4</v>
      </c>
      <c r="G81" s="2" t="n">
        <v>25</v>
      </c>
      <c r="H81" s="3" t="n">
        <v>1475.6</v>
      </c>
      <c r="I81" s="3" t="n">
        <v>35700</v>
      </c>
      <c r="J81" s="3" t="n">
        <v>36890</v>
      </c>
      <c r="K81" s="3" t="n">
        <v>-1190</v>
      </c>
    </row>
    <row r="82" customFormat="false" ht="15" hidden="false" customHeight="false" outlineLevel="0" collapsed="false">
      <c r="A82" s="2" t="n">
        <v>1254</v>
      </c>
      <c r="B82" s="2" t="s">
        <v>63</v>
      </c>
      <c r="C82" s="2" t="s">
        <v>12</v>
      </c>
      <c r="D82" s="2" t="s">
        <v>13</v>
      </c>
      <c r="E82" s="3" t="n">
        <v>2870</v>
      </c>
      <c r="F82" s="4" t="n">
        <v>0.3</v>
      </c>
      <c r="G82" s="2" t="n">
        <v>30</v>
      </c>
      <c r="H82" s="3" t="n">
        <v>2296</v>
      </c>
      <c r="I82" s="3" t="n">
        <v>60270</v>
      </c>
      <c r="J82" s="3" t="n">
        <v>68880</v>
      </c>
      <c r="K82" s="3" t="n">
        <v>-8610</v>
      </c>
    </row>
    <row r="83" customFormat="false" ht="15" hidden="false" customHeight="false" outlineLevel="0" collapsed="false">
      <c r="A83" s="2" t="n">
        <v>1048</v>
      </c>
      <c r="B83" s="2" t="s">
        <v>63</v>
      </c>
      <c r="C83" s="2" t="s">
        <v>20</v>
      </c>
      <c r="D83" s="2" t="s">
        <v>31</v>
      </c>
      <c r="E83" s="3" t="n">
        <v>1980</v>
      </c>
      <c r="F83" s="4" t="n">
        <v>0</v>
      </c>
      <c r="G83" s="2" t="n">
        <v>16</v>
      </c>
      <c r="H83" s="3" t="n">
        <v>990</v>
      </c>
      <c r="I83" s="3" t="n">
        <v>31680</v>
      </c>
      <c r="J83" s="3" t="n">
        <v>15840</v>
      </c>
      <c r="K83" s="3" t="n">
        <v>15840</v>
      </c>
    </row>
    <row r="84" customFormat="false" ht="15" hidden="false" customHeight="false" outlineLevel="0" collapsed="false">
      <c r="A84" s="2" t="n">
        <v>1139</v>
      </c>
      <c r="B84" s="2" t="s">
        <v>63</v>
      </c>
      <c r="C84" s="2" t="s">
        <v>15</v>
      </c>
      <c r="D84" s="2" t="s">
        <v>35</v>
      </c>
      <c r="E84" s="3" t="n">
        <v>2010</v>
      </c>
      <c r="F84" s="4" t="n">
        <v>0.2</v>
      </c>
      <c r="G84" s="2" t="n">
        <v>18</v>
      </c>
      <c r="H84" s="3" t="n">
        <v>1246.2</v>
      </c>
      <c r="I84" s="3" t="n">
        <v>28944</v>
      </c>
      <c r="J84" s="3" t="n">
        <v>22431.6</v>
      </c>
      <c r="K84" s="3" t="n">
        <v>6512.4</v>
      </c>
    </row>
    <row r="85" customFormat="false" ht="15" hidden="false" customHeight="false" outlineLevel="0" collapsed="false">
      <c r="A85" s="2" t="n">
        <v>1235</v>
      </c>
      <c r="B85" s="2" t="s">
        <v>64</v>
      </c>
      <c r="C85" s="2" t="s">
        <v>15</v>
      </c>
      <c r="D85" s="2" t="s">
        <v>35</v>
      </c>
      <c r="E85" s="3" t="n">
        <v>2190</v>
      </c>
      <c r="F85" s="4" t="n">
        <v>0.3</v>
      </c>
      <c r="G85" s="2" t="n">
        <v>32</v>
      </c>
      <c r="H85" s="3" t="n">
        <v>1357.8</v>
      </c>
      <c r="I85" s="3" t="n">
        <v>49056</v>
      </c>
      <c r="J85" s="3" t="n">
        <v>43449.6</v>
      </c>
      <c r="K85" s="3" t="n">
        <v>5606.4</v>
      </c>
    </row>
    <row r="86" customFormat="false" ht="15" hidden="false" customHeight="false" outlineLevel="0" collapsed="false">
      <c r="A86" s="2" t="n">
        <v>1187</v>
      </c>
      <c r="B86" s="2" t="s">
        <v>65</v>
      </c>
      <c r="C86" s="2" t="s">
        <v>20</v>
      </c>
      <c r="D86" s="2" t="s">
        <v>21</v>
      </c>
      <c r="E86" s="3" t="n">
        <v>730</v>
      </c>
      <c r="F86" s="4" t="n">
        <v>0.1</v>
      </c>
      <c r="G86" s="2" t="n">
        <v>12</v>
      </c>
      <c r="H86" s="3" t="n">
        <v>365</v>
      </c>
      <c r="I86" s="3" t="n">
        <v>7884</v>
      </c>
      <c r="J86" s="3" t="n">
        <v>4380</v>
      </c>
      <c r="K86" s="3" t="n">
        <v>3504</v>
      </c>
    </row>
    <row r="87" customFormat="false" ht="15" hidden="false" customHeight="false" outlineLevel="0" collapsed="false">
      <c r="A87" s="2" t="n">
        <v>1065</v>
      </c>
      <c r="B87" s="2" t="s">
        <v>65</v>
      </c>
      <c r="C87" s="2" t="s">
        <v>12</v>
      </c>
      <c r="D87" s="2" t="s">
        <v>38</v>
      </c>
      <c r="E87" s="3" t="n">
        <v>4190</v>
      </c>
      <c r="F87" s="4" t="n">
        <v>0.3</v>
      </c>
      <c r="G87" s="2" t="n">
        <v>34</v>
      </c>
      <c r="H87" s="3" t="n">
        <v>3352</v>
      </c>
      <c r="I87" s="3" t="n">
        <v>99722</v>
      </c>
      <c r="J87" s="3" t="n">
        <v>113968</v>
      </c>
      <c r="K87" s="3" t="n">
        <v>-14246</v>
      </c>
    </row>
    <row r="88" customFormat="false" ht="15" hidden="false" customHeight="false" outlineLevel="0" collapsed="false">
      <c r="A88" s="2" t="n">
        <v>1180</v>
      </c>
      <c r="B88" s="2" t="s">
        <v>66</v>
      </c>
      <c r="C88" s="2" t="s">
        <v>15</v>
      </c>
      <c r="D88" s="2" t="s">
        <v>22</v>
      </c>
      <c r="E88" s="3" t="n">
        <v>2020</v>
      </c>
      <c r="F88" s="4" t="n">
        <v>0.2</v>
      </c>
      <c r="G88" s="2" t="n">
        <v>30</v>
      </c>
      <c r="H88" s="3" t="n">
        <v>1252.4</v>
      </c>
      <c r="I88" s="3" t="n">
        <v>48480</v>
      </c>
      <c r="J88" s="3" t="n">
        <v>37572</v>
      </c>
      <c r="K88" s="3" t="n">
        <v>10908</v>
      </c>
    </row>
    <row r="89" customFormat="false" ht="15" hidden="false" customHeight="false" outlineLevel="0" collapsed="false">
      <c r="A89" s="2" t="n">
        <v>1059</v>
      </c>
      <c r="B89" s="2" t="s">
        <v>66</v>
      </c>
      <c r="C89" s="2" t="s">
        <v>20</v>
      </c>
      <c r="D89" s="2" t="s">
        <v>33</v>
      </c>
      <c r="E89" s="3" t="n">
        <v>620</v>
      </c>
      <c r="F89" s="4" t="n">
        <v>0.4</v>
      </c>
      <c r="G89" s="2" t="n">
        <v>36</v>
      </c>
      <c r="H89" s="3" t="n">
        <v>310</v>
      </c>
      <c r="I89" s="3" t="n">
        <v>13392</v>
      </c>
      <c r="J89" s="3" t="n">
        <v>11160</v>
      </c>
      <c r="K89" s="3" t="n">
        <v>2232</v>
      </c>
    </row>
    <row r="90" customFormat="false" ht="15" hidden="false" customHeight="false" outlineLevel="0" collapsed="false">
      <c r="A90" s="2" t="n">
        <v>1291</v>
      </c>
      <c r="B90" s="2" t="s">
        <v>66</v>
      </c>
      <c r="C90" s="2" t="s">
        <v>15</v>
      </c>
      <c r="D90" s="2" t="s">
        <v>16</v>
      </c>
      <c r="E90" s="3" t="n">
        <v>800</v>
      </c>
      <c r="F90" s="4" t="n">
        <v>0.4</v>
      </c>
      <c r="G90" s="2" t="n">
        <v>41</v>
      </c>
      <c r="H90" s="3" t="n">
        <v>496</v>
      </c>
      <c r="I90" s="3" t="n">
        <v>19680</v>
      </c>
      <c r="J90" s="3" t="n">
        <v>20336</v>
      </c>
      <c r="K90" s="3" t="n">
        <v>-656</v>
      </c>
    </row>
    <row r="91" customFormat="false" ht="15" hidden="false" customHeight="false" outlineLevel="0" collapsed="false">
      <c r="A91" s="2" t="n">
        <v>1035</v>
      </c>
      <c r="B91" s="2" t="s">
        <v>67</v>
      </c>
      <c r="C91" s="2" t="s">
        <v>12</v>
      </c>
      <c r="D91" s="2" t="s">
        <v>13</v>
      </c>
      <c r="E91" s="3" t="n">
        <v>4110</v>
      </c>
      <c r="F91" s="4" t="n">
        <v>0</v>
      </c>
      <c r="G91" s="2" t="n">
        <v>15</v>
      </c>
      <c r="H91" s="3" t="n">
        <v>3288</v>
      </c>
      <c r="I91" s="3" t="n">
        <v>61650</v>
      </c>
      <c r="J91" s="3" t="n">
        <v>49320</v>
      </c>
      <c r="K91" s="3" t="n">
        <v>12330</v>
      </c>
    </row>
    <row r="92" customFormat="false" ht="15" hidden="false" customHeight="false" outlineLevel="0" collapsed="false">
      <c r="A92" s="2" t="n">
        <v>1042</v>
      </c>
      <c r="B92" s="2" t="s">
        <v>67</v>
      </c>
      <c r="C92" s="2" t="s">
        <v>15</v>
      </c>
      <c r="D92" s="2" t="s">
        <v>22</v>
      </c>
      <c r="E92" s="3" t="n">
        <v>1870</v>
      </c>
      <c r="F92" s="4" t="n">
        <v>0</v>
      </c>
      <c r="G92" s="2" t="n">
        <v>11</v>
      </c>
      <c r="H92" s="3" t="n">
        <v>1159.4</v>
      </c>
      <c r="I92" s="3" t="n">
        <v>20570</v>
      </c>
      <c r="J92" s="3" t="n">
        <v>12753.4</v>
      </c>
      <c r="K92" s="3" t="n">
        <v>7816.6</v>
      </c>
    </row>
    <row r="93" customFormat="false" ht="15" hidden="false" customHeight="false" outlineLevel="0" collapsed="false">
      <c r="A93" s="2" t="n">
        <v>1279</v>
      </c>
      <c r="B93" s="2" t="s">
        <v>68</v>
      </c>
      <c r="C93" s="2" t="s">
        <v>15</v>
      </c>
      <c r="D93" s="2" t="s">
        <v>16</v>
      </c>
      <c r="E93" s="3" t="n">
        <v>1500</v>
      </c>
      <c r="F93" s="4" t="n">
        <v>0.4</v>
      </c>
      <c r="G93" s="2" t="n">
        <v>37</v>
      </c>
      <c r="H93" s="3" t="n">
        <v>930</v>
      </c>
      <c r="I93" s="3" t="n">
        <v>33300</v>
      </c>
      <c r="J93" s="3" t="n">
        <v>34410</v>
      </c>
      <c r="K93" s="3" t="n">
        <v>-1110</v>
      </c>
    </row>
    <row r="94" customFormat="false" ht="15" hidden="false" customHeight="false" outlineLevel="0" collapsed="false">
      <c r="A94" s="2" t="n">
        <v>1271</v>
      </c>
      <c r="B94" s="2" t="s">
        <v>69</v>
      </c>
      <c r="C94" s="2" t="s">
        <v>20</v>
      </c>
      <c r="D94" s="2" t="s">
        <v>21</v>
      </c>
      <c r="E94" s="3" t="n">
        <v>410</v>
      </c>
      <c r="F94" s="4" t="n">
        <v>0.4</v>
      </c>
      <c r="G94" s="2" t="n">
        <v>40</v>
      </c>
      <c r="H94" s="3" t="n">
        <v>205</v>
      </c>
      <c r="I94" s="3" t="n">
        <v>9840</v>
      </c>
      <c r="J94" s="3" t="n">
        <v>8200</v>
      </c>
      <c r="K94" s="3" t="n">
        <v>1640</v>
      </c>
    </row>
    <row r="95" customFormat="false" ht="15" hidden="false" customHeight="false" outlineLevel="0" collapsed="false">
      <c r="A95" s="2" t="n">
        <v>1157</v>
      </c>
      <c r="B95" s="2" t="s">
        <v>69</v>
      </c>
      <c r="C95" s="2" t="s">
        <v>20</v>
      </c>
      <c r="D95" s="2" t="s">
        <v>21</v>
      </c>
      <c r="E95" s="3" t="n">
        <v>1310</v>
      </c>
      <c r="F95" s="4" t="n">
        <v>0</v>
      </c>
      <c r="G95" s="2" t="n">
        <v>22</v>
      </c>
      <c r="H95" s="3" t="n">
        <v>655</v>
      </c>
      <c r="I95" s="3" t="n">
        <v>28820</v>
      </c>
      <c r="J95" s="3" t="n">
        <v>14410</v>
      </c>
      <c r="K95" s="3" t="n">
        <v>14410</v>
      </c>
    </row>
    <row r="96" customFormat="false" ht="15" hidden="false" customHeight="false" outlineLevel="0" collapsed="false">
      <c r="A96" s="2" t="n">
        <v>1025</v>
      </c>
      <c r="B96" s="2" t="s">
        <v>70</v>
      </c>
      <c r="C96" s="2" t="s">
        <v>20</v>
      </c>
      <c r="D96" s="2" t="s">
        <v>21</v>
      </c>
      <c r="E96" s="3" t="n">
        <v>980</v>
      </c>
      <c r="F96" s="4" t="n">
        <v>0</v>
      </c>
      <c r="G96" s="2" t="n">
        <v>21</v>
      </c>
      <c r="H96" s="3" t="n">
        <v>490</v>
      </c>
      <c r="I96" s="3" t="n">
        <v>20580</v>
      </c>
      <c r="J96" s="3" t="n">
        <v>10290</v>
      </c>
      <c r="K96" s="3" t="n">
        <v>10290</v>
      </c>
    </row>
    <row r="97" customFormat="false" ht="15" hidden="false" customHeight="false" outlineLevel="0" collapsed="false">
      <c r="A97" s="2" t="n">
        <v>1193</v>
      </c>
      <c r="B97" s="2" t="s">
        <v>70</v>
      </c>
      <c r="C97" s="2" t="s">
        <v>20</v>
      </c>
      <c r="D97" s="2" t="s">
        <v>31</v>
      </c>
      <c r="E97" s="3" t="n">
        <v>1480</v>
      </c>
      <c r="F97" s="4" t="n">
        <v>0.4</v>
      </c>
      <c r="G97" s="2" t="n">
        <v>16</v>
      </c>
      <c r="H97" s="3" t="n">
        <v>740</v>
      </c>
      <c r="I97" s="3" t="n">
        <v>14208</v>
      </c>
      <c r="J97" s="3" t="n">
        <v>11840</v>
      </c>
      <c r="K97" s="3" t="n">
        <v>2368</v>
      </c>
    </row>
    <row r="98" customFormat="false" ht="15" hidden="false" customHeight="false" outlineLevel="0" collapsed="false">
      <c r="A98" s="2" t="n">
        <v>1169</v>
      </c>
      <c r="B98" s="2" t="s">
        <v>71</v>
      </c>
      <c r="C98" s="2" t="s">
        <v>15</v>
      </c>
      <c r="D98" s="2" t="s">
        <v>22</v>
      </c>
      <c r="E98" s="3" t="n">
        <v>1180</v>
      </c>
      <c r="F98" s="4" t="n">
        <v>0.2</v>
      </c>
      <c r="G98" s="2" t="n">
        <v>23</v>
      </c>
      <c r="H98" s="3" t="n">
        <v>731.6</v>
      </c>
      <c r="I98" s="3" t="n">
        <v>21712</v>
      </c>
      <c r="J98" s="3" t="n">
        <v>16826.8</v>
      </c>
      <c r="K98" s="3" t="n">
        <v>4885.2</v>
      </c>
    </row>
    <row r="99" customFormat="false" ht="15" hidden="false" customHeight="false" outlineLevel="0" collapsed="false">
      <c r="A99" s="2" t="n">
        <v>1103</v>
      </c>
      <c r="B99" s="2" t="s">
        <v>71</v>
      </c>
      <c r="C99" s="2" t="s">
        <v>12</v>
      </c>
      <c r="D99" s="2" t="s">
        <v>29</v>
      </c>
      <c r="E99" s="3" t="n">
        <v>3740</v>
      </c>
      <c r="F99" s="4" t="n">
        <v>0.3</v>
      </c>
      <c r="G99" s="2" t="n">
        <v>25</v>
      </c>
      <c r="H99" s="3" t="n">
        <v>2992</v>
      </c>
      <c r="I99" s="3" t="n">
        <v>65450</v>
      </c>
      <c r="J99" s="3" t="n">
        <v>74800</v>
      </c>
      <c r="K99" s="3" t="n">
        <v>-9350</v>
      </c>
    </row>
    <row r="100" customFormat="false" ht="15" hidden="false" customHeight="false" outlineLevel="0" collapsed="false">
      <c r="A100" s="2" t="n">
        <v>1170</v>
      </c>
      <c r="B100" s="2" t="s">
        <v>72</v>
      </c>
      <c r="C100" s="2" t="s">
        <v>20</v>
      </c>
      <c r="D100" s="2" t="s">
        <v>31</v>
      </c>
      <c r="E100" s="3" t="n">
        <v>2050</v>
      </c>
      <c r="F100" s="4" t="n">
        <v>0.1</v>
      </c>
      <c r="G100" s="2" t="n">
        <v>24</v>
      </c>
      <c r="H100" s="3" t="n">
        <v>1025</v>
      </c>
      <c r="I100" s="3" t="n">
        <v>44280</v>
      </c>
      <c r="J100" s="3" t="n">
        <v>24600</v>
      </c>
      <c r="K100" s="3" t="n">
        <v>19680</v>
      </c>
    </row>
    <row r="101" customFormat="false" ht="15" hidden="false" customHeight="false" outlineLevel="0" collapsed="false">
      <c r="A101" s="2" t="n">
        <v>1145</v>
      </c>
      <c r="B101" s="2" t="s">
        <v>73</v>
      </c>
      <c r="C101" s="2" t="s">
        <v>15</v>
      </c>
      <c r="D101" s="2" t="s">
        <v>17</v>
      </c>
      <c r="E101" s="3" t="n">
        <v>1010</v>
      </c>
      <c r="F101" s="4" t="n">
        <v>0</v>
      </c>
      <c r="G101" s="2" t="n">
        <v>9</v>
      </c>
      <c r="H101" s="3" t="n">
        <v>626.2</v>
      </c>
      <c r="I101" s="3" t="n">
        <v>9090</v>
      </c>
      <c r="J101" s="3" t="n">
        <v>5635.8</v>
      </c>
      <c r="K101" s="3" t="n">
        <v>3454.2</v>
      </c>
    </row>
    <row r="102" customFormat="false" ht="15" hidden="false" customHeight="false" outlineLevel="0" collapsed="false">
      <c r="A102" s="2" t="n">
        <v>1154</v>
      </c>
      <c r="B102" s="2" t="s">
        <v>73</v>
      </c>
      <c r="C102" s="2" t="s">
        <v>15</v>
      </c>
      <c r="D102" s="2" t="s">
        <v>17</v>
      </c>
      <c r="E102" s="3" t="n">
        <v>1830</v>
      </c>
      <c r="F102" s="4" t="n">
        <v>0.3</v>
      </c>
      <c r="G102" s="2" t="n">
        <v>14</v>
      </c>
      <c r="H102" s="3" t="n">
        <v>1134.6</v>
      </c>
      <c r="I102" s="3" t="n">
        <v>17934</v>
      </c>
      <c r="J102" s="3" t="n">
        <v>15884.4</v>
      </c>
      <c r="K102" s="3" t="n">
        <v>2049.6</v>
      </c>
    </row>
    <row r="103" customFormat="false" ht="15" hidden="false" customHeight="false" outlineLevel="0" collapsed="false">
      <c r="A103" s="2" t="n">
        <v>1110</v>
      </c>
      <c r="B103" s="2" t="s">
        <v>74</v>
      </c>
      <c r="C103" s="2" t="s">
        <v>12</v>
      </c>
      <c r="D103" s="2" t="s">
        <v>38</v>
      </c>
      <c r="E103" s="3" t="n">
        <v>3670</v>
      </c>
      <c r="F103" s="4" t="n">
        <v>0.4</v>
      </c>
      <c r="G103" s="2" t="n">
        <v>43</v>
      </c>
      <c r="H103" s="3" t="n">
        <v>2936</v>
      </c>
      <c r="I103" s="3" t="n">
        <v>94686</v>
      </c>
      <c r="J103" s="3" t="n">
        <v>126248</v>
      </c>
      <c r="K103" s="3" t="n">
        <v>-31562</v>
      </c>
    </row>
    <row r="104" customFormat="false" ht="15" hidden="false" customHeight="false" outlineLevel="0" collapsed="false">
      <c r="A104" s="2" t="n">
        <v>1111</v>
      </c>
      <c r="B104" s="2" t="s">
        <v>74</v>
      </c>
      <c r="C104" s="2" t="s">
        <v>15</v>
      </c>
      <c r="D104" s="2" t="s">
        <v>17</v>
      </c>
      <c r="E104" s="3" t="n">
        <v>1960</v>
      </c>
      <c r="F104" s="4" t="n">
        <v>0.1</v>
      </c>
      <c r="G104" s="2" t="n">
        <v>23</v>
      </c>
      <c r="H104" s="3" t="n">
        <v>1215.2</v>
      </c>
      <c r="I104" s="3" t="n">
        <v>40572</v>
      </c>
      <c r="J104" s="3" t="n">
        <v>27949.6</v>
      </c>
      <c r="K104" s="3" t="n">
        <v>12622.4</v>
      </c>
    </row>
    <row r="105" customFormat="false" ht="15" hidden="false" customHeight="false" outlineLevel="0" collapsed="false">
      <c r="A105" s="2" t="n">
        <v>1146</v>
      </c>
      <c r="B105" s="2" t="s">
        <v>75</v>
      </c>
      <c r="C105" s="2" t="s">
        <v>20</v>
      </c>
      <c r="D105" s="2" t="s">
        <v>24</v>
      </c>
      <c r="E105" s="3" t="n">
        <v>1490</v>
      </c>
      <c r="F105" s="4" t="n">
        <v>0</v>
      </c>
      <c r="G105" s="2" t="n">
        <v>15</v>
      </c>
      <c r="H105" s="3" t="n">
        <v>745</v>
      </c>
      <c r="I105" s="3" t="n">
        <v>22350</v>
      </c>
      <c r="J105" s="3" t="n">
        <v>11175</v>
      </c>
      <c r="K105" s="3" t="n">
        <v>11175</v>
      </c>
    </row>
    <row r="106" customFormat="false" ht="15" hidden="false" customHeight="false" outlineLevel="0" collapsed="false">
      <c r="A106" s="2" t="n">
        <v>1098</v>
      </c>
      <c r="B106" s="2" t="s">
        <v>75</v>
      </c>
      <c r="C106" s="2" t="s">
        <v>20</v>
      </c>
      <c r="D106" s="2" t="s">
        <v>31</v>
      </c>
      <c r="E106" s="3" t="n">
        <v>1930</v>
      </c>
      <c r="F106" s="4" t="n">
        <v>0.3</v>
      </c>
      <c r="G106" s="2" t="n">
        <v>19</v>
      </c>
      <c r="H106" s="3" t="n">
        <v>965</v>
      </c>
      <c r="I106" s="3" t="n">
        <v>25669</v>
      </c>
      <c r="J106" s="3" t="n">
        <v>18335</v>
      </c>
      <c r="K106" s="3" t="n">
        <v>7334</v>
      </c>
    </row>
    <row r="107" customFormat="false" ht="15" hidden="false" customHeight="false" outlineLevel="0" collapsed="false">
      <c r="A107" s="2" t="n">
        <v>1046</v>
      </c>
      <c r="B107" s="2" t="s">
        <v>76</v>
      </c>
      <c r="C107" s="2" t="s">
        <v>20</v>
      </c>
      <c r="D107" s="2" t="s">
        <v>33</v>
      </c>
      <c r="E107" s="3" t="n">
        <v>970</v>
      </c>
      <c r="F107" s="4" t="n">
        <v>0.1</v>
      </c>
      <c r="G107" s="2" t="n">
        <v>26</v>
      </c>
      <c r="H107" s="3" t="n">
        <v>485</v>
      </c>
      <c r="I107" s="3" t="n">
        <v>22698</v>
      </c>
      <c r="J107" s="3" t="n">
        <v>12610</v>
      </c>
      <c r="K107" s="3" t="n">
        <v>10088</v>
      </c>
    </row>
    <row r="108" customFormat="false" ht="15" hidden="false" customHeight="false" outlineLevel="0" collapsed="false">
      <c r="A108" s="2" t="n">
        <v>1067</v>
      </c>
      <c r="B108" s="2" t="s">
        <v>76</v>
      </c>
      <c r="C108" s="2" t="s">
        <v>15</v>
      </c>
      <c r="D108" s="2" t="s">
        <v>17</v>
      </c>
      <c r="E108" s="3" t="n">
        <v>650</v>
      </c>
      <c r="F108" s="4" t="n">
        <v>0.1</v>
      </c>
      <c r="G108" s="2" t="n">
        <v>22</v>
      </c>
      <c r="H108" s="3" t="n">
        <v>403</v>
      </c>
      <c r="I108" s="3" t="n">
        <v>12870</v>
      </c>
      <c r="J108" s="3" t="n">
        <v>8866</v>
      </c>
      <c r="K108" s="3" t="n">
        <v>4004</v>
      </c>
    </row>
    <row r="109" customFormat="false" ht="15" hidden="false" customHeight="false" outlineLevel="0" collapsed="false">
      <c r="A109" s="2" t="n">
        <v>1253</v>
      </c>
      <c r="B109" s="2" t="s">
        <v>77</v>
      </c>
      <c r="C109" s="2" t="s">
        <v>15</v>
      </c>
      <c r="D109" s="2" t="s">
        <v>22</v>
      </c>
      <c r="E109" s="3" t="n">
        <v>2010</v>
      </c>
      <c r="F109" s="4" t="n">
        <v>0.2</v>
      </c>
      <c r="G109" s="2" t="n">
        <v>19</v>
      </c>
      <c r="H109" s="3" t="n">
        <v>1246.2</v>
      </c>
      <c r="I109" s="3" t="n">
        <v>30552</v>
      </c>
      <c r="J109" s="3" t="n">
        <v>23677.8</v>
      </c>
      <c r="K109" s="3" t="n">
        <v>6874.2</v>
      </c>
    </row>
    <row r="110" customFormat="false" ht="15" hidden="false" customHeight="false" outlineLevel="0" collapsed="false">
      <c r="A110" s="2" t="n">
        <v>1003</v>
      </c>
      <c r="B110" s="2" t="s">
        <v>77</v>
      </c>
      <c r="C110" s="2" t="s">
        <v>12</v>
      </c>
      <c r="D110" s="2" t="s">
        <v>38</v>
      </c>
      <c r="E110" s="3" t="n">
        <v>3220</v>
      </c>
      <c r="F110" s="4" t="n">
        <v>0.4</v>
      </c>
      <c r="G110" s="2" t="n">
        <v>32</v>
      </c>
      <c r="H110" s="3" t="n">
        <v>2576</v>
      </c>
      <c r="I110" s="3" t="n">
        <v>61824</v>
      </c>
      <c r="J110" s="3" t="n">
        <v>82432</v>
      </c>
      <c r="K110" s="3" t="n">
        <v>-20608</v>
      </c>
    </row>
    <row r="111" customFormat="false" ht="15" hidden="false" customHeight="false" outlineLevel="0" collapsed="false">
      <c r="A111" s="2" t="n">
        <v>1306</v>
      </c>
      <c r="B111" s="2" t="s">
        <v>78</v>
      </c>
      <c r="C111" s="2" t="s">
        <v>15</v>
      </c>
      <c r="D111" s="2" t="s">
        <v>22</v>
      </c>
      <c r="E111" s="3" t="n">
        <v>830</v>
      </c>
      <c r="F111" s="4" t="n">
        <v>0.4</v>
      </c>
      <c r="G111" s="2" t="n">
        <v>36</v>
      </c>
      <c r="H111" s="3" t="n">
        <v>514.6</v>
      </c>
      <c r="I111" s="3" t="n">
        <v>17928</v>
      </c>
      <c r="J111" s="3" t="n">
        <v>18525.6</v>
      </c>
      <c r="K111" s="3" t="n">
        <v>-597.6</v>
      </c>
    </row>
    <row r="112" customFormat="false" ht="15" hidden="false" customHeight="false" outlineLevel="0" collapsed="false">
      <c r="A112" s="2" t="n">
        <v>1053</v>
      </c>
      <c r="B112" s="2" t="s">
        <v>78</v>
      </c>
      <c r="C112" s="2" t="s">
        <v>20</v>
      </c>
      <c r="D112" s="2" t="s">
        <v>31</v>
      </c>
      <c r="E112" s="3" t="n">
        <v>1370</v>
      </c>
      <c r="F112" s="4" t="n">
        <v>0.4</v>
      </c>
      <c r="G112" s="2" t="n">
        <v>17</v>
      </c>
      <c r="H112" s="3" t="n">
        <v>685</v>
      </c>
      <c r="I112" s="3" t="n">
        <v>13974</v>
      </c>
      <c r="J112" s="3" t="n">
        <v>11645</v>
      </c>
      <c r="K112" s="3" t="n">
        <v>2329</v>
      </c>
    </row>
    <row r="113" customFormat="false" ht="15" hidden="false" customHeight="false" outlineLevel="0" collapsed="false">
      <c r="A113" s="2" t="n">
        <v>1231</v>
      </c>
      <c r="B113" s="2" t="s">
        <v>79</v>
      </c>
      <c r="C113" s="2" t="s">
        <v>15</v>
      </c>
      <c r="D113" s="2" t="s">
        <v>17</v>
      </c>
      <c r="E113" s="3" t="n">
        <v>2410</v>
      </c>
      <c r="F113" s="4" t="n">
        <v>0.1</v>
      </c>
      <c r="G113" s="2" t="n">
        <v>23</v>
      </c>
      <c r="H113" s="3" t="n">
        <v>1494.2</v>
      </c>
      <c r="I113" s="3" t="n">
        <v>49887</v>
      </c>
      <c r="J113" s="3" t="n">
        <v>34366.6</v>
      </c>
      <c r="K113" s="3" t="n">
        <v>15520.4</v>
      </c>
    </row>
    <row r="114" customFormat="false" ht="15" hidden="false" customHeight="false" outlineLevel="0" collapsed="false">
      <c r="A114" s="2" t="n">
        <v>1084</v>
      </c>
      <c r="B114" s="2" t="s">
        <v>79</v>
      </c>
      <c r="C114" s="2" t="s">
        <v>15</v>
      </c>
      <c r="D114" s="2" t="s">
        <v>22</v>
      </c>
      <c r="E114" s="3" t="n">
        <v>2720</v>
      </c>
      <c r="F114" s="4" t="n">
        <v>0.3</v>
      </c>
      <c r="G114" s="2" t="n">
        <v>42</v>
      </c>
      <c r="H114" s="3" t="n">
        <v>1686.4</v>
      </c>
      <c r="I114" s="3" t="n">
        <v>79968</v>
      </c>
      <c r="J114" s="3" t="n">
        <v>70828.8</v>
      </c>
      <c r="K114" s="3" t="n">
        <v>9139.2</v>
      </c>
    </row>
    <row r="115" customFormat="false" ht="15" hidden="false" customHeight="false" outlineLevel="0" collapsed="false">
      <c r="A115" s="2" t="n">
        <v>1261</v>
      </c>
      <c r="B115" s="2" t="s">
        <v>80</v>
      </c>
      <c r="C115" s="2" t="s">
        <v>15</v>
      </c>
      <c r="D115" s="2" t="s">
        <v>22</v>
      </c>
      <c r="E115" s="3" t="n">
        <v>2070</v>
      </c>
      <c r="F115" s="4" t="n">
        <v>0</v>
      </c>
      <c r="G115" s="2" t="n">
        <v>10</v>
      </c>
      <c r="H115" s="3" t="n">
        <v>1283.4</v>
      </c>
      <c r="I115" s="3" t="n">
        <v>20700</v>
      </c>
      <c r="J115" s="3" t="n">
        <v>12834</v>
      </c>
      <c r="K115" s="3" t="n">
        <v>7866</v>
      </c>
    </row>
    <row r="116" customFormat="false" ht="15" hidden="false" customHeight="false" outlineLevel="0" collapsed="false">
      <c r="A116" s="2" t="n">
        <v>1210</v>
      </c>
      <c r="B116" s="2" t="s">
        <v>80</v>
      </c>
      <c r="C116" s="2" t="s">
        <v>12</v>
      </c>
      <c r="D116" s="2" t="s">
        <v>27</v>
      </c>
      <c r="E116" s="3" t="n">
        <v>1620</v>
      </c>
      <c r="F116" s="4" t="n">
        <v>0.2</v>
      </c>
      <c r="G116" s="2" t="n">
        <v>23</v>
      </c>
      <c r="H116" s="3" t="n">
        <v>1296</v>
      </c>
      <c r="I116" s="3" t="n">
        <v>29808</v>
      </c>
      <c r="J116" s="3" t="n">
        <v>29808</v>
      </c>
      <c r="K116" s="3" t="n">
        <v>0</v>
      </c>
    </row>
    <row r="117" customFormat="false" ht="15" hidden="false" customHeight="false" outlineLevel="0" collapsed="false">
      <c r="A117" s="2" t="n">
        <v>1013</v>
      </c>
      <c r="B117" s="2" t="s">
        <v>80</v>
      </c>
      <c r="C117" s="2" t="s">
        <v>12</v>
      </c>
      <c r="D117" s="2" t="s">
        <v>13</v>
      </c>
      <c r="E117" s="3" t="n">
        <v>1250</v>
      </c>
      <c r="F117" s="4" t="n">
        <v>0</v>
      </c>
      <c r="G117" s="2" t="n">
        <v>7</v>
      </c>
      <c r="H117" s="3" t="n">
        <v>1000</v>
      </c>
      <c r="I117" s="3" t="n">
        <v>8750</v>
      </c>
      <c r="J117" s="3" t="n">
        <v>7000</v>
      </c>
      <c r="K117" s="3" t="n">
        <v>1750</v>
      </c>
    </row>
    <row r="118" customFormat="false" ht="15" hidden="false" customHeight="false" outlineLevel="0" collapsed="false">
      <c r="A118" s="2" t="n">
        <v>1302</v>
      </c>
      <c r="B118" s="2" t="s">
        <v>81</v>
      </c>
      <c r="C118" s="2" t="s">
        <v>12</v>
      </c>
      <c r="D118" s="2" t="s">
        <v>29</v>
      </c>
      <c r="E118" s="3" t="n">
        <v>1640</v>
      </c>
      <c r="F118" s="4" t="n">
        <v>0</v>
      </c>
      <c r="G118" s="2" t="n">
        <v>11</v>
      </c>
      <c r="H118" s="3" t="n">
        <v>1312</v>
      </c>
      <c r="I118" s="3" t="n">
        <v>18040</v>
      </c>
      <c r="J118" s="3" t="n">
        <v>14432</v>
      </c>
      <c r="K118" s="3" t="n">
        <v>3608</v>
      </c>
    </row>
    <row r="119" customFormat="false" ht="15" hidden="false" customHeight="false" outlineLevel="0" collapsed="false">
      <c r="A119" s="2" t="n">
        <v>1050</v>
      </c>
      <c r="B119" s="2" t="s">
        <v>81</v>
      </c>
      <c r="C119" s="2" t="s">
        <v>12</v>
      </c>
      <c r="D119" s="2" t="s">
        <v>38</v>
      </c>
      <c r="E119" s="3" t="n">
        <v>2890</v>
      </c>
      <c r="F119" s="4" t="n">
        <v>0</v>
      </c>
      <c r="G119" s="2" t="n">
        <v>12</v>
      </c>
      <c r="H119" s="3" t="n">
        <v>2312</v>
      </c>
      <c r="I119" s="3" t="n">
        <v>34680</v>
      </c>
      <c r="J119" s="3" t="n">
        <v>27744</v>
      </c>
      <c r="K119" s="3" t="n">
        <v>6936</v>
      </c>
    </row>
    <row r="120" customFormat="false" ht="15" hidden="false" customHeight="false" outlineLevel="0" collapsed="false">
      <c r="A120" s="2" t="n">
        <v>1064</v>
      </c>
      <c r="B120" s="2" t="s">
        <v>81</v>
      </c>
      <c r="C120" s="2" t="s">
        <v>12</v>
      </c>
      <c r="D120" s="2" t="s">
        <v>13</v>
      </c>
      <c r="E120" s="3" t="n">
        <v>3880</v>
      </c>
      <c r="F120" s="4" t="n">
        <v>0.2</v>
      </c>
      <c r="G120" s="2" t="n">
        <v>21</v>
      </c>
      <c r="H120" s="3" t="n">
        <v>3104</v>
      </c>
      <c r="I120" s="3" t="n">
        <v>65184</v>
      </c>
      <c r="J120" s="3" t="n">
        <v>65184</v>
      </c>
      <c r="K120" s="3" t="n">
        <v>0</v>
      </c>
    </row>
    <row r="121" customFormat="false" ht="15" hidden="false" customHeight="false" outlineLevel="0" collapsed="false">
      <c r="A121" s="2" t="n">
        <v>1051</v>
      </c>
      <c r="B121" s="2" t="s">
        <v>82</v>
      </c>
      <c r="C121" s="2" t="s">
        <v>15</v>
      </c>
      <c r="D121" s="2" t="s">
        <v>16</v>
      </c>
      <c r="E121" s="3" t="n">
        <v>710</v>
      </c>
      <c r="F121" s="4" t="n">
        <v>0.2</v>
      </c>
      <c r="G121" s="2" t="n">
        <v>35</v>
      </c>
      <c r="H121" s="3" t="n">
        <v>440.2</v>
      </c>
      <c r="I121" s="3" t="n">
        <v>19880</v>
      </c>
      <c r="J121" s="3" t="n">
        <v>15407</v>
      </c>
      <c r="K121" s="3" t="n">
        <v>4473</v>
      </c>
    </row>
    <row r="122" customFormat="false" ht="15" hidden="false" customHeight="false" outlineLevel="0" collapsed="false">
      <c r="A122" s="2" t="n">
        <v>1156</v>
      </c>
      <c r="B122" s="2" t="s">
        <v>83</v>
      </c>
      <c r="C122" s="2" t="s">
        <v>20</v>
      </c>
      <c r="D122" s="2" t="s">
        <v>24</v>
      </c>
      <c r="E122" s="3" t="n">
        <v>1910</v>
      </c>
      <c r="F122" s="4" t="n">
        <v>0.4</v>
      </c>
      <c r="G122" s="2" t="n">
        <v>25</v>
      </c>
      <c r="H122" s="3" t="n">
        <v>955</v>
      </c>
      <c r="I122" s="3" t="n">
        <v>28650</v>
      </c>
      <c r="J122" s="3" t="n">
        <v>23875</v>
      </c>
      <c r="K122" s="3" t="n">
        <v>4775</v>
      </c>
    </row>
    <row r="123" customFormat="false" ht="15" hidden="false" customHeight="false" outlineLevel="0" collapsed="false">
      <c r="A123" s="2" t="n">
        <v>1028</v>
      </c>
      <c r="B123" s="2" t="s">
        <v>84</v>
      </c>
      <c r="C123" s="2" t="s">
        <v>20</v>
      </c>
      <c r="D123" s="2" t="s">
        <v>31</v>
      </c>
      <c r="E123" s="3" t="n">
        <v>660</v>
      </c>
      <c r="F123" s="4" t="n">
        <v>0.3</v>
      </c>
      <c r="G123" s="2" t="n">
        <v>22</v>
      </c>
      <c r="H123" s="3" t="n">
        <v>330</v>
      </c>
      <c r="I123" s="3" t="n">
        <v>10164</v>
      </c>
      <c r="J123" s="3" t="n">
        <v>7260</v>
      </c>
      <c r="K123" s="3" t="n">
        <v>2904</v>
      </c>
    </row>
    <row r="124" customFormat="false" ht="15" hidden="false" customHeight="false" outlineLevel="0" collapsed="false">
      <c r="A124" s="2" t="n">
        <v>1122</v>
      </c>
      <c r="B124" s="2" t="s">
        <v>84</v>
      </c>
      <c r="C124" s="2" t="s">
        <v>15</v>
      </c>
      <c r="D124" s="2" t="s">
        <v>35</v>
      </c>
      <c r="E124" s="3" t="n">
        <v>2440</v>
      </c>
      <c r="F124" s="4" t="n">
        <v>0.4</v>
      </c>
      <c r="G124" s="2" t="n">
        <v>29</v>
      </c>
      <c r="H124" s="3" t="n">
        <v>1512.8</v>
      </c>
      <c r="I124" s="3" t="n">
        <v>42456</v>
      </c>
      <c r="J124" s="3" t="n">
        <v>43871.2</v>
      </c>
      <c r="K124" s="3" t="n">
        <v>-1415.2</v>
      </c>
    </row>
    <row r="125" customFormat="false" ht="15" hidden="false" customHeight="false" outlineLevel="0" collapsed="false">
      <c r="A125" s="2" t="n">
        <v>1198</v>
      </c>
      <c r="B125" s="2" t="s">
        <v>84</v>
      </c>
      <c r="C125" s="2" t="s">
        <v>20</v>
      </c>
      <c r="D125" s="2" t="s">
        <v>31</v>
      </c>
      <c r="E125" s="3" t="n">
        <v>1520</v>
      </c>
      <c r="F125" s="4" t="n">
        <v>0.4</v>
      </c>
      <c r="G125" s="2" t="n">
        <v>37</v>
      </c>
      <c r="H125" s="3" t="n">
        <v>760</v>
      </c>
      <c r="I125" s="3" t="n">
        <v>33744</v>
      </c>
      <c r="J125" s="3" t="n">
        <v>28120</v>
      </c>
      <c r="K125" s="3" t="n">
        <v>5624</v>
      </c>
    </row>
    <row r="126" customFormat="false" ht="15" hidden="false" customHeight="false" outlineLevel="0" collapsed="false">
      <c r="A126" s="2" t="n">
        <v>1073</v>
      </c>
      <c r="B126" s="2" t="s">
        <v>85</v>
      </c>
      <c r="C126" s="2" t="s">
        <v>12</v>
      </c>
      <c r="D126" s="2" t="s">
        <v>27</v>
      </c>
      <c r="E126" s="3" t="n">
        <v>4360</v>
      </c>
      <c r="F126" s="4" t="n">
        <v>0.3</v>
      </c>
      <c r="G126" s="2" t="n">
        <v>36</v>
      </c>
      <c r="H126" s="3" t="n">
        <v>3488</v>
      </c>
      <c r="I126" s="3" t="n">
        <v>109872</v>
      </c>
      <c r="J126" s="3" t="n">
        <v>125568</v>
      </c>
      <c r="K126" s="3" t="n">
        <v>-15696</v>
      </c>
    </row>
    <row r="127" customFormat="false" ht="15" hidden="false" customHeight="false" outlineLevel="0" collapsed="false">
      <c r="A127" s="2" t="n">
        <v>1030</v>
      </c>
      <c r="B127" s="2" t="s">
        <v>86</v>
      </c>
      <c r="C127" s="2" t="s">
        <v>15</v>
      </c>
      <c r="D127" s="2" t="s">
        <v>17</v>
      </c>
      <c r="E127" s="3" t="n">
        <v>1480</v>
      </c>
      <c r="F127" s="4" t="n">
        <v>0</v>
      </c>
      <c r="G127" s="2" t="n">
        <v>15</v>
      </c>
      <c r="H127" s="3" t="n">
        <v>917.6</v>
      </c>
      <c r="I127" s="3" t="n">
        <v>22200</v>
      </c>
      <c r="J127" s="3" t="n">
        <v>13764</v>
      </c>
      <c r="K127" s="3" t="n">
        <v>8436</v>
      </c>
    </row>
    <row r="128" customFormat="false" ht="15" hidden="false" customHeight="false" outlineLevel="0" collapsed="false">
      <c r="A128" s="2" t="n">
        <v>1052</v>
      </c>
      <c r="B128" s="2" t="s">
        <v>86</v>
      </c>
      <c r="C128" s="2" t="s">
        <v>20</v>
      </c>
      <c r="D128" s="2" t="s">
        <v>21</v>
      </c>
      <c r="E128" s="3" t="n">
        <v>460</v>
      </c>
      <c r="F128" s="4" t="n">
        <v>0</v>
      </c>
      <c r="G128" s="2" t="n">
        <v>21</v>
      </c>
      <c r="H128" s="3" t="n">
        <v>230</v>
      </c>
      <c r="I128" s="3" t="n">
        <v>9660</v>
      </c>
      <c r="J128" s="3" t="n">
        <v>4830</v>
      </c>
      <c r="K128" s="3" t="n">
        <v>4830</v>
      </c>
    </row>
    <row r="129" customFormat="false" ht="15" hidden="false" customHeight="false" outlineLevel="0" collapsed="false">
      <c r="A129" s="2" t="n">
        <v>1275</v>
      </c>
      <c r="B129" s="2" t="s">
        <v>87</v>
      </c>
      <c r="C129" s="2" t="s">
        <v>20</v>
      </c>
      <c r="D129" s="2" t="s">
        <v>21</v>
      </c>
      <c r="E129" s="3" t="n">
        <v>1630</v>
      </c>
      <c r="F129" s="4" t="n">
        <v>0.1</v>
      </c>
      <c r="G129" s="2" t="n">
        <v>19</v>
      </c>
      <c r="H129" s="3" t="n">
        <v>815</v>
      </c>
      <c r="I129" s="3" t="n">
        <v>27873</v>
      </c>
      <c r="J129" s="3" t="n">
        <v>15485</v>
      </c>
      <c r="K129" s="3" t="n">
        <v>12388</v>
      </c>
    </row>
    <row r="130" customFormat="false" ht="15" hidden="false" customHeight="false" outlineLevel="0" collapsed="false">
      <c r="A130" s="2" t="n">
        <v>1020</v>
      </c>
      <c r="B130" s="2" t="s">
        <v>87</v>
      </c>
      <c r="C130" s="2" t="s">
        <v>20</v>
      </c>
      <c r="D130" s="2" t="s">
        <v>33</v>
      </c>
      <c r="E130" s="3" t="n">
        <v>1370</v>
      </c>
      <c r="F130" s="4" t="n">
        <v>0.4</v>
      </c>
      <c r="G130" s="2" t="n">
        <v>24</v>
      </c>
      <c r="H130" s="3" t="n">
        <v>685</v>
      </c>
      <c r="I130" s="3" t="n">
        <v>19728</v>
      </c>
      <c r="J130" s="3" t="n">
        <v>16440</v>
      </c>
      <c r="K130" s="3" t="n">
        <v>3288</v>
      </c>
    </row>
    <row r="131" customFormat="false" ht="15" hidden="false" customHeight="false" outlineLevel="0" collapsed="false">
      <c r="A131" s="2" t="n">
        <v>1142</v>
      </c>
      <c r="B131" s="2" t="s">
        <v>88</v>
      </c>
      <c r="C131" s="2" t="s">
        <v>20</v>
      </c>
      <c r="D131" s="2" t="s">
        <v>24</v>
      </c>
      <c r="E131" s="3" t="n">
        <v>580</v>
      </c>
      <c r="F131" s="4" t="n">
        <v>0.3</v>
      </c>
      <c r="G131" s="2" t="n">
        <v>25</v>
      </c>
      <c r="H131" s="3" t="n">
        <v>290</v>
      </c>
      <c r="I131" s="3" t="n">
        <v>10150</v>
      </c>
      <c r="J131" s="3" t="n">
        <v>7250</v>
      </c>
      <c r="K131" s="3" t="n">
        <v>2900</v>
      </c>
    </row>
    <row r="132" customFormat="false" ht="15" hidden="false" customHeight="false" outlineLevel="0" collapsed="false">
      <c r="A132" s="2" t="n">
        <v>1126</v>
      </c>
      <c r="B132" s="2" t="s">
        <v>89</v>
      </c>
      <c r="C132" s="2" t="s">
        <v>15</v>
      </c>
      <c r="D132" s="2" t="s">
        <v>22</v>
      </c>
      <c r="E132" s="3" t="n">
        <v>2110</v>
      </c>
      <c r="F132" s="4" t="n">
        <v>0.3</v>
      </c>
      <c r="G132" s="2" t="n">
        <v>13</v>
      </c>
      <c r="H132" s="3" t="n">
        <v>1308.2</v>
      </c>
      <c r="I132" s="3" t="n">
        <v>19201</v>
      </c>
      <c r="J132" s="3" t="n">
        <v>17006.6</v>
      </c>
      <c r="K132" s="3" t="n">
        <v>2194.4</v>
      </c>
    </row>
    <row r="133" customFormat="false" ht="15" hidden="false" customHeight="false" outlineLevel="0" collapsed="false">
      <c r="A133" s="2" t="n">
        <v>1308</v>
      </c>
      <c r="B133" s="2" t="s">
        <v>89</v>
      </c>
      <c r="C133" s="2" t="s">
        <v>15</v>
      </c>
      <c r="D133" s="2" t="s">
        <v>35</v>
      </c>
      <c r="E133" s="3" t="n">
        <v>2260</v>
      </c>
      <c r="F133" s="4" t="n">
        <v>0</v>
      </c>
      <c r="G133" s="2" t="n">
        <v>14</v>
      </c>
      <c r="H133" s="3" t="n">
        <v>1401.2</v>
      </c>
      <c r="I133" s="3" t="n">
        <v>31640</v>
      </c>
      <c r="J133" s="3" t="n">
        <v>19616.8</v>
      </c>
      <c r="K133" s="3" t="n">
        <v>12023.2</v>
      </c>
    </row>
    <row r="134" customFormat="false" ht="15" hidden="false" customHeight="false" outlineLevel="0" collapsed="false">
      <c r="A134" s="2" t="n">
        <v>1174</v>
      </c>
      <c r="B134" s="2" t="s">
        <v>89</v>
      </c>
      <c r="C134" s="2" t="s">
        <v>15</v>
      </c>
      <c r="D134" s="2" t="s">
        <v>35</v>
      </c>
      <c r="E134" s="3" t="n">
        <v>1910</v>
      </c>
      <c r="F134" s="4" t="n">
        <v>0.1</v>
      </c>
      <c r="G134" s="2" t="n">
        <v>23</v>
      </c>
      <c r="H134" s="3" t="n">
        <v>1184.2</v>
      </c>
      <c r="I134" s="3" t="n">
        <v>39537</v>
      </c>
      <c r="J134" s="3" t="n">
        <v>27236.6</v>
      </c>
      <c r="K134" s="3" t="n">
        <v>12300.4</v>
      </c>
    </row>
    <row r="135" customFormat="false" ht="15" hidden="false" customHeight="false" outlineLevel="0" collapsed="false">
      <c r="A135" s="2" t="n">
        <v>1177</v>
      </c>
      <c r="B135" s="2" t="s">
        <v>90</v>
      </c>
      <c r="C135" s="2" t="s">
        <v>15</v>
      </c>
      <c r="D135" s="2" t="s">
        <v>16</v>
      </c>
      <c r="E135" s="3" t="n">
        <v>1390</v>
      </c>
      <c r="F135" s="4" t="n">
        <v>0.3</v>
      </c>
      <c r="G135" s="2" t="n">
        <v>40</v>
      </c>
      <c r="H135" s="3" t="n">
        <v>861.8</v>
      </c>
      <c r="I135" s="3" t="n">
        <v>38920</v>
      </c>
      <c r="J135" s="3" t="n">
        <v>34472</v>
      </c>
      <c r="K135" s="3" t="n">
        <v>4448</v>
      </c>
    </row>
    <row r="136" customFormat="false" ht="15" hidden="false" customHeight="false" outlineLevel="0" collapsed="false">
      <c r="A136" s="2" t="n">
        <v>1296</v>
      </c>
      <c r="B136" s="2" t="s">
        <v>91</v>
      </c>
      <c r="C136" s="2" t="s">
        <v>12</v>
      </c>
      <c r="D136" s="2" t="s">
        <v>27</v>
      </c>
      <c r="E136" s="3" t="n">
        <v>2070</v>
      </c>
      <c r="F136" s="4" t="n">
        <v>0.1</v>
      </c>
      <c r="G136" s="2" t="n">
        <v>19</v>
      </c>
      <c r="H136" s="3" t="n">
        <v>1656</v>
      </c>
      <c r="I136" s="3" t="n">
        <v>35397</v>
      </c>
      <c r="J136" s="3" t="n">
        <v>31464</v>
      </c>
      <c r="K136" s="3" t="n">
        <v>3933</v>
      </c>
    </row>
    <row r="137" customFormat="false" ht="15" hidden="false" customHeight="false" outlineLevel="0" collapsed="false">
      <c r="A137" s="2" t="n">
        <v>1076</v>
      </c>
      <c r="B137" s="2" t="s">
        <v>92</v>
      </c>
      <c r="C137" s="2" t="s">
        <v>12</v>
      </c>
      <c r="D137" s="2" t="s">
        <v>27</v>
      </c>
      <c r="E137" s="3" t="n">
        <v>4130</v>
      </c>
      <c r="F137" s="4" t="n">
        <v>0.2</v>
      </c>
      <c r="G137" s="2" t="n">
        <v>26</v>
      </c>
      <c r="H137" s="3" t="n">
        <v>3304</v>
      </c>
      <c r="I137" s="3" t="n">
        <v>85904</v>
      </c>
      <c r="J137" s="3" t="n">
        <v>85904</v>
      </c>
      <c r="K137" s="3" t="n">
        <v>0</v>
      </c>
    </row>
    <row r="138" customFormat="false" ht="15" hidden="false" customHeight="false" outlineLevel="0" collapsed="false">
      <c r="A138" s="2" t="n">
        <v>1158</v>
      </c>
      <c r="B138" s="2" t="s">
        <v>93</v>
      </c>
      <c r="C138" s="2" t="s">
        <v>12</v>
      </c>
      <c r="D138" s="2" t="s">
        <v>38</v>
      </c>
      <c r="E138" s="3" t="n">
        <v>1990</v>
      </c>
      <c r="F138" s="4" t="n">
        <v>0.1</v>
      </c>
      <c r="G138" s="2" t="n">
        <v>12</v>
      </c>
      <c r="H138" s="3" t="n">
        <v>1592</v>
      </c>
      <c r="I138" s="3" t="n">
        <v>21492</v>
      </c>
      <c r="J138" s="3" t="n">
        <v>19104</v>
      </c>
      <c r="K138" s="3" t="n">
        <v>2388</v>
      </c>
    </row>
    <row r="139" customFormat="false" ht="15" hidden="false" customHeight="false" outlineLevel="0" collapsed="false">
      <c r="A139" s="2" t="n">
        <v>1304</v>
      </c>
      <c r="B139" s="2" t="s">
        <v>94</v>
      </c>
      <c r="C139" s="2" t="s">
        <v>12</v>
      </c>
      <c r="D139" s="2" t="s">
        <v>13</v>
      </c>
      <c r="E139" s="3" t="n">
        <v>2410</v>
      </c>
      <c r="F139" s="4" t="n">
        <v>0.4</v>
      </c>
      <c r="G139" s="2" t="n">
        <v>18</v>
      </c>
      <c r="H139" s="3" t="n">
        <v>1928</v>
      </c>
      <c r="I139" s="3" t="n">
        <v>26028</v>
      </c>
      <c r="J139" s="3" t="n">
        <v>34704</v>
      </c>
      <c r="K139" s="3" t="n">
        <v>-8676</v>
      </c>
    </row>
    <row r="140" customFormat="false" ht="15" hidden="false" customHeight="false" outlineLevel="0" collapsed="false">
      <c r="A140" s="2" t="n">
        <v>1101</v>
      </c>
      <c r="B140" s="2" t="s">
        <v>94</v>
      </c>
      <c r="C140" s="2" t="s">
        <v>15</v>
      </c>
      <c r="D140" s="2" t="s">
        <v>35</v>
      </c>
      <c r="E140" s="3" t="n">
        <v>1560</v>
      </c>
      <c r="F140" s="4" t="n">
        <v>0.1</v>
      </c>
      <c r="G140" s="2" t="n">
        <v>17</v>
      </c>
      <c r="H140" s="3" t="n">
        <v>967.2</v>
      </c>
      <c r="I140" s="3" t="n">
        <v>23868</v>
      </c>
      <c r="J140" s="3" t="n">
        <v>16442.4</v>
      </c>
      <c r="K140" s="3" t="n">
        <v>7425.6</v>
      </c>
    </row>
    <row r="141" customFormat="false" ht="15" hidden="false" customHeight="false" outlineLevel="0" collapsed="false">
      <c r="A141" s="2" t="n">
        <v>1026</v>
      </c>
      <c r="B141" s="2" t="s">
        <v>95</v>
      </c>
      <c r="C141" s="2" t="s">
        <v>15</v>
      </c>
      <c r="D141" s="2" t="s">
        <v>35</v>
      </c>
      <c r="E141" s="3" t="n">
        <v>1690</v>
      </c>
      <c r="F141" s="4" t="n">
        <v>0</v>
      </c>
      <c r="G141" s="2" t="n">
        <v>11</v>
      </c>
      <c r="H141" s="3" t="n">
        <v>1047.8</v>
      </c>
      <c r="I141" s="3" t="n">
        <v>18590</v>
      </c>
      <c r="J141" s="3" t="n">
        <v>11525.8</v>
      </c>
      <c r="K141" s="3" t="n">
        <v>7064.2</v>
      </c>
    </row>
    <row r="142" customFormat="false" ht="15" hidden="false" customHeight="false" outlineLevel="0" collapsed="false">
      <c r="A142" s="2" t="n">
        <v>1173</v>
      </c>
      <c r="B142" s="2" t="s">
        <v>95</v>
      </c>
      <c r="C142" s="2" t="s">
        <v>15</v>
      </c>
      <c r="D142" s="2" t="s">
        <v>17</v>
      </c>
      <c r="E142" s="3" t="n">
        <v>2210</v>
      </c>
      <c r="F142" s="4" t="n">
        <v>0</v>
      </c>
      <c r="G142" s="2" t="n">
        <v>11</v>
      </c>
      <c r="H142" s="3" t="n">
        <v>1370.2</v>
      </c>
      <c r="I142" s="3" t="n">
        <v>24310</v>
      </c>
      <c r="J142" s="3" t="n">
        <v>15072.2</v>
      </c>
      <c r="K142" s="3" t="n">
        <v>9237.8</v>
      </c>
    </row>
    <row r="143" customFormat="false" ht="15" hidden="false" customHeight="false" outlineLevel="0" collapsed="false">
      <c r="A143" s="2" t="n">
        <v>1202</v>
      </c>
      <c r="B143" s="2" t="s">
        <v>95</v>
      </c>
      <c r="C143" s="2" t="s">
        <v>15</v>
      </c>
      <c r="D143" s="2" t="s">
        <v>17</v>
      </c>
      <c r="E143" s="3" t="n">
        <v>780</v>
      </c>
      <c r="F143" s="4" t="n">
        <v>0.3</v>
      </c>
      <c r="G143" s="2" t="n">
        <v>45</v>
      </c>
      <c r="H143" s="3" t="n">
        <v>483.6</v>
      </c>
      <c r="I143" s="3" t="n">
        <v>24570</v>
      </c>
      <c r="J143" s="3" t="n">
        <v>21762</v>
      </c>
      <c r="K143" s="3" t="n">
        <v>2808</v>
      </c>
    </row>
    <row r="144" customFormat="false" ht="15" hidden="false" customHeight="false" outlineLevel="0" collapsed="false">
      <c r="A144" s="2" t="n">
        <v>1100</v>
      </c>
      <c r="B144" s="2" t="s">
        <v>96</v>
      </c>
      <c r="C144" s="2" t="s">
        <v>20</v>
      </c>
      <c r="D144" s="2" t="s">
        <v>31</v>
      </c>
      <c r="E144" s="3" t="n">
        <v>1510</v>
      </c>
      <c r="F144" s="4" t="n">
        <v>0.1</v>
      </c>
      <c r="G144" s="2" t="n">
        <v>18</v>
      </c>
      <c r="H144" s="3" t="n">
        <v>755</v>
      </c>
      <c r="I144" s="3" t="n">
        <v>24462</v>
      </c>
      <c r="J144" s="3" t="n">
        <v>13590</v>
      </c>
      <c r="K144" s="3" t="n">
        <v>10872</v>
      </c>
    </row>
    <row r="145" customFormat="false" ht="15" hidden="false" customHeight="false" outlineLevel="0" collapsed="false">
      <c r="A145" s="2" t="n">
        <v>1314</v>
      </c>
      <c r="B145" s="2" t="s">
        <v>96</v>
      </c>
      <c r="C145" s="2" t="s">
        <v>20</v>
      </c>
      <c r="D145" s="2" t="s">
        <v>33</v>
      </c>
      <c r="E145" s="3" t="n">
        <v>790</v>
      </c>
      <c r="F145" s="4" t="n">
        <v>0.4</v>
      </c>
      <c r="G145" s="2" t="n">
        <v>45</v>
      </c>
      <c r="H145" s="3" t="n">
        <v>395</v>
      </c>
      <c r="I145" s="3" t="n">
        <v>21330</v>
      </c>
      <c r="J145" s="3" t="n">
        <v>17775</v>
      </c>
      <c r="K145" s="3" t="n">
        <v>3555</v>
      </c>
    </row>
    <row r="146" customFormat="false" ht="15" hidden="false" customHeight="false" outlineLevel="0" collapsed="false">
      <c r="A146" s="2" t="n">
        <v>1095</v>
      </c>
      <c r="B146" s="2" t="s">
        <v>97</v>
      </c>
      <c r="C146" s="2" t="s">
        <v>12</v>
      </c>
      <c r="D146" s="2" t="s">
        <v>29</v>
      </c>
      <c r="E146" s="3" t="n">
        <v>4210</v>
      </c>
      <c r="F146" s="4" t="n">
        <v>0.4</v>
      </c>
      <c r="G146" s="2" t="n">
        <v>25</v>
      </c>
      <c r="H146" s="3" t="n">
        <v>3368</v>
      </c>
      <c r="I146" s="3" t="n">
        <v>63150</v>
      </c>
      <c r="J146" s="3" t="n">
        <v>84200</v>
      </c>
      <c r="K146" s="3" t="n">
        <v>-21050</v>
      </c>
    </row>
    <row r="147" customFormat="false" ht="15" hidden="false" customHeight="false" outlineLevel="0" collapsed="false">
      <c r="A147" s="2" t="n">
        <v>1150</v>
      </c>
      <c r="B147" s="2" t="s">
        <v>98</v>
      </c>
      <c r="C147" s="2" t="s">
        <v>12</v>
      </c>
      <c r="D147" s="2" t="s">
        <v>13</v>
      </c>
      <c r="E147" s="3" t="n">
        <v>3120</v>
      </c>
      <c r="F147" s="4" t="n">
        <v>0.1</v>
      </c>
      <c r="G147" s="2" t="n">
        <v>29</v>
      </c>
      <c r="H147" s="3" t="n">
        <v>2496</v>
      </c>
      <c r="I147" s="3" t="n">
        <v>81432</v>
      </c>
      <c r="J147" s="3" t="n">
        <v>72384</v>
      </c>
      <c r="K147" s="3" t="n">
        <v>9048</v>
      </c>
    </row>
    <row r="148" customFormat="false" ht="15" hidden="false" customHeight="false" outlineLevel="0" collapsed="false">
      <c r="A148" s="2" t="n">
        <v>1276</v>
      </c>
      <c r="B148" s="2" t="s">
        <v>98</v>
      </c>
      <c r="C148" s="2" t="s">
        <v>20</v>
      </c>
      <c r="D148" s="2" t="s">
        <v>24</v>
      </c>
      <c r="E148" s="3" t="n">
        <v>1830</v>
      </c>
      <c r="F148" s="4" t="n">
        <v>0.4</v>
      </c>
      <c r="G148" s="2" t="n">
        <v>37</v>
      </c>
      <c r="H148" s="3" t="n">
        <v>915</v>
      </c>
      <c r="I148" s="3" t="n">
        <v>40626</v>
      </c>
      <c r="J148" s="3" t="n">
        <v>33855</v>
      </c>
      <c r="K148" s="3" t="n">
        <v>6771</v>
      </c>
    </row>
    <row r="149" customFormat="false" ht="15" hidden="false" customHeight="false" outlineLevel="0" collapsed="false">
      <c r="A149" s="2" t="n">
        <v>1216</v>
      </c>
      <c r="B149" s="2" t="s">
        <v>98</v>
      </c>
      <c r="C149" s="2" t="s">
        <v>20</v>
      </c>
      <c r="D149" s="2" t="s">
        <v>21</v>
      </c>
      <c r="E149" s="3" t="n">
        <v>1890</v>
      </c>
      <c r="F149" s="4" t="n">
        <v>0.2</v>
      </c>
      <c r="G149" s="2" t="n">
        <v>16</v>
      </c>
      <c r="H149" s="3" t="n">
        <v>945</v>
      </c>
      <c r="I149" s="3" t="n">
        <v>24192</v>
      </c>
      <c r="J149" s="3" t="n">
        <v>15120</v>
      </c>
      <c r="K149" s="3" t="n">
        <v>9072</v>
      </c>
    </row>
    <row r="150" customFormat="false" ht="15" hidden="false" customHeight="false" outlineLevel="0" collapsed="false">
      <c r="A150" s="2" t="n">
        <v>1160</v>
      </c>
      <c r="B150" s="2" t="s">
        <v>99</v>
      </c>
      <c r="C150" s="2" t="s">
        <v>20</v>
      </c>
      <c r="D150" s="2" t="s">
        <v>21</v>
      </c>
      <c r="E150" s="3" t="n">
        <v>2010</v>
      </c>
      <c r="F150" s="4" t="n">
        <v>0.1</v>
      </c>
      <c r="G150" s="2" t="n">
        <v>20</v>
      </c>
      <c r="H150" s="3" t="n">
        <v>1005</v>
      </c>
      <c r="I150" s="3" t="n">
        <v>36180</v>
      </c>
      <c r="J150" s="3" t="n">
        <v>20100</v>
      </c>
      <c r="K150" s="3" t="n">
        <v>16080</v>
      </c>
    </row>
    <row r="151" customFormat="false" ht="15" hidden="false" customHeight="false" outlineLevel="0" collapsed="false">
      <c r="A151" s="2" t="n">
        <v>1163</v>
      </c>
      <c r="B151" s="2" t="s">
        <v>100</v>
      </c>
      <c r="C151" s="2" t="s">
        <v>15</v>
      </c>
      <c r="D151" s="2" t="s">
        <v>16</v>
      </c>
      <c r="E151" s="3" t="n">
        <v>1810</v>
      </c>
      <c r="F151" s="4" t="n">
        <v>0.1</v>
      </c>
      <c r="G151" s="2" t="n">
        <v>23</v>
      </c>
      <c r="H151" s="3" t="n">
        <v>1122.2</v>
      </c>
      <c r="I151" s="3" t="n">
        <v>37467</v>
      </c>
      <c r="J151" s="3" t="n">
        <v>25810.6</v>
      </c>
      <c r="K151" s="3" t="n">
        <v>11656.4</v>
      </c>
    </row>
    <row r="152" customFormat="false" ht="15" hidden="false" customHeight="false" outlineLevel="0" collapsed="false">
      <c r="A152" s="2" t="n">
        <v>1155</v>
      </c>
      <c r="B152" s="2" t="s">
        <v>101</v>
      </c>
      <c r="C152" s="2" t="s">
        <v>20</v>
      </c>
      <c r="D152" s="2" t="s">
        <v>21</v>
      </c>
      <c r="E152" s="3" t="n">
        <v>1070</v>
      </c>
      <c r="F152" s="4" t="n">
        <v>0.1</v>
      </c>
      <c r="G152" s="2" t="n">
        <v>29</v>
      </c>
      <c r="H152" s="3" t="n">
        <v>535</v>
      </c>
      <c r="I152" s="3" t="n">
        <v>27927</v>
      </c>
      <c r="J152" s="3" t="n">
        <v>15515</v>
      </c>
      <c r="K152" s="3" t="n">
        <v>12412</v>
      </c>
    </row>
    <row r="153" customFormat="false" ht="15" hidden="false" customHeight="false" outlineLevel="0" collapsed="false">
      <c r="A153" s="2" t="n">
        <v>1244</v>
      </c>
      <c r="B153" s="2" t="s">
        <v>101</v>
      </c>
      <c r="C153" s="2" t="s">
        <v>12</v>
      </c>
      <c r="D153" s="2" t="s">
        <v>27</v>
      </c>
      <c r="E153" s="3" t="n">
        <v>1980</v>
      </c>
      <c r="F153" s="4" t="n">
        <v>0.1</v>
      </c>
      <c r="G153" s="2" t="n">
        <v>20</v>
      </c>
      <c r="H153" s="3" t="n">
        <v>1584</v>
      </c>
      <c r="I153" s="3" t="n">
        <v>35640</v>
      </c>
      <c r="J153" s="3" t="n">
        <v>31680</v>
      </c>
      <c r="K153" s="3" t="n">
        <v>3960</v>
      </c>
    </row>
    <row r="154" customFormat="false" ht="15" hidden="false" customHeight="false" outlineLevel="0" collapsed="false">
      <c r="A154" s="2" t="n">
        <v>1209</v>
      </c>
      <c r="B154" s="2" t="s">
        <v>102</v>
      </c>
      <c r="C154" s="2" t="s">
        <v>15</v>
      </c>
      <c r="D154" s="2" t="s">
        <v>35</v>
      </c>
      <c r="E154" s="3" t="n">
        <v>2760</v>
      </c>
      <c r="F154" s="4" t="n">
        <v>0</v>
      </c>
      <c r="G154" s="2" t="n">
        <v>14</v>
      </c>
      <c r="H154" s="3" t="n">
        <v>1711.2</v>
      </c>
      <c r="I154" s="3" t="n">
        <v>38640</v>
      </c>
      <c r="J154" s="3" t="n">
        <v>23956.8</v>
      </c>
      <c r="K154" s="3" t="n">
        <v>14683.2</v>
      </c>
    </row>
    <row r="155" customFormat="false" ht="15" hidden="false" customHeight="false" outlineLevel="0" collapsed="false">
      <c r="A155" s="2" t="n">
        <v>1191</v>
      </c>
      <c r="B155" s="2" t="s">
        <v>102</v>
      </c>
      <c r="C155" s="2" t="s">
        <v>12</v>
      </c>
      <c r="D155" s="2" t="s">
        <v>38</v>
      </c>
      <c r="E155" s="3" t="n">
        <v>1260</v>
      </c>
      <c r="F155" s="4" t="n">
        <v>0</v>
      </c>
      <c r="G155" s="2" t="n">
        <v>21</v>
      </c>
      <c r="H155" s="3" t="n">
        <v>1008</v>
      </c>
      <c r="I155" s="3" t="n">
        <v>26460</v>
      </c>
      <c r="J155" s="3" t="n">
        <v>21168</v>
      </c>
      <c r="K155" s="3" t="n">
        <v>5292</v>
      </c>
    </row>
    <row r="156" customFormat="false" ht="15" hidden="false" customHeight="false" outlineLevel="0" collapsed="false">
      <c r="A156" s="2" t="n">
        <v>1280</v>
      </c>
      <c r="B156" s="2" t="s">
        <v>103</v>
      </c>
      <c r="C156" s="2" t="s">
        <v>15</v>
      </c>
      <c r="D156" s="2" t="s">
        <v>35</v>
      </c>
      <c r="E156" s="3" t="n">
        <v>2320</v>
      </c>
      <c r="F156" s="4" t="n">
        <v>0.1</v>
      </c>
      <c r="G156" s="2" t="n">
        <v>15</v>
      </c>
      <c r="H156" s="3" t="n">
        <v>1438.4</v>
      </c>
      <c r="I156" s="3" t="n">
        <v>31320</v>
      </c>
      <c r="J156" s="3" t="n">
        <v>21576</v>
      </c>
      <c r="K156" s="3" t="n">
        <v>9744</v>
      </c>
    </row>
    <row r="157" customFormat="false" ht="15" hidden="false" customHeight="false" outlineLevel="0" collapsed="false">
      <c r="A157" s="2" t="n">
        <v>1033</v>
      </c>
      <c r="B157" s="2" t="s">
        <v>104</v>
      </c>
      <c r="C157" s="2" t="s">
        <v>20</v>
      </c>
      <c r="D157" s="2" t="s">
        <v>21</v>
      </c>
      <c r="E157" s="3" t="n">
        <v>1980</v>
      </c>
      <c r="F157" s="4" t="n">
        <v>0.2</v>
      </c>
      <c r="G157" s="2" t="n">
        <v>24</v>
      </c>
      <c r="H157" s="3" t="n">
        <v>990</v>
      </c>
      <c r="I157" s="3" t="n">
        <v>38016</v>
      </c>
      <c r="J157" s="3" t="n">
        <v>23760</v>
      </c>
      <c r="K157" s="3" t="n">
        <v>14256</v>
      </c>
    </row>
    <row r="158" customFormat="false" ht="15" hidden="false" customHeight="false" outlineLevel="0" collapsed="false">
      <c r="A158" s="2" t="n">
        <v>1123</v>
      </c>
      <c r="B158" s="2" t="s">
        <v>104</v>
      </c>
      <c r="C158" s="2" t="s">
        <v>20</v>
      </c>
      <c r="D158" s="2" t="s">
        <v>24</v>
      </c>
      <c r="E158" s="3" t="n">
        <v>1310</v>
      </c>
      <c r="F158" s="4" t="n">
        <v>0</v>
      </c>
      <c r="G158" s="2" t="n">
        <v>17</v>
      </c>
      <c r="H158" s="3" t="n">
        <v>655</v>
      </c>
      <c r="I158" s="3" t="n">
        <v>22270</v>
      </c>
      <c r="J158" s="3" t="n">
        <v>11135</v>
      </c>
      <c r="K158" s="3" t="n">
        <v>11135</v>
      </c>
    </row>
    <row r="159" customFormat="false" ht="15" hidden="false" customHeight="false" outlineLevel="0" collapsed="false">
      <c r="A159" s="2" t="n">
        <v>1107</v>
      </c>
      <c r="B159" s="2" t="s">
        <v>104</v>
      </c>
      <c r="C159" s="2" t="s">
        <v>12</v>
      </c>
      <c r="D159" s="2" t="s">
        <v>29</v>
      </c>
      <c r="E159" s="3" t="n">
        <v>1490</v>
      </c>
      <c r="F159" s="4" t="n">
        <v>0</v>
      </c>
      <c r="G159" s="2" t="n">
        <v>12</v>
      </c>
      <c r="H159" s="3" t="n">
        <v>1192</v>
      </c>
      <c r="I159" s="3" t="n">
        <v>17880</v>
      </c>
      <c r="J159" s="3" t="n">
        <v>14304</v>
      </c>
      <c r="K159" s="3" t="n">
        <v>3576</v>
      </c>
    </row>
    <row r="160" customFormat="false" ht="15" hidden="false" customHeight="false" outlineLevel="0" collapsed="false">
      <c r="A160" s="2" t="n">
        <v>1311</v>
      </c>
      <c r="B160" s="2" t="s">
        <v>105</v>
      </c>
      <c r="C160" s="2" t="s">
        <v>20</v>
      </c>
      <c r="D160" s="2" t="s">
        <v>33</v>
      </c>
      <c r="E160" s="3" t="n">
        <v>2000</v>
      </c>
      <c r="F160" s="4" t="n">
        <v>0.4</v>
      </c>
      <c r="G160" s="2" t="n">
        <v>19</v>
      </c>
      <c r="H160" s="3" t="n">
        <v>1000</v>
      </c>
      <c r="I160" s="3" t="n">
        <v>22800</v>
      </c>
      <c r="J160" s="3" t="n">
        <v>19000</v>
      </c>
      <c r="K160" s="3" t="n">
        <v>3800</v>
      </c>
    </row>
    <row r="161" customFormat="false" ht="15" hidden="false" customHeight="false" outlineLevel="0" collapsed="false">
      <c r="A161" s="2" t="n">
        <v>1066</v>
      </c>
      <c r="B161" s="2" t="s">
        <v>106</v>
      </c>
      <c r="C161" s="2" t="s">
        <v>15</v>
      </c>
      <c r="D161" s="2" t="s">
        <v>22</v>
      </c>
      <c r="E161" s="3" t="n">
        <v>810</v>
      </c>
      <c r="F161" s="4" t="n">
        <v>0.2</v>
      </c>
      <c r="G161" s="2" t="n">
        <v>41</v>
      </c>
      <c r="H161" s="3" t="n">
        <v>502.2</v>
      </c>
      <c r="I161" s="3" t="n">
        <v>26568</v>
      </c>
      <c r="J161" s="3" t="n">
        <v>20590.2</v>
      </c>
      <c r="K161" s="3" t="n">
        <v>5977.8</v>
      </c>
    </row>
    <row r="162" customFormat="false" ht="15" hidden="false" customHeight="false" outlineLevel="0" collapsed="false">
      <c r="A162" s="2" t="n">
        <v>1044</v>
      </c>
      <c r="B162" s="2" t="s">
        <v>106</v>
      </c>
      <c r="C162" s="2" t="s">
        <v>12</v>
      </c>
      <c r="D162" s="2" t="s">
        <v>29</v>
      </c>
      <c r="E162" s="3" t="n">
        <v>4220</v>
      </c>
      <c r="F162" s="4" t="n">
        <v>0.2</v>
      </c>
      <c r="G162" s="2" t="n">
        <v>30</v>
      </c>
      <c r="H162" s="3" t="n">
        <v>3376</v>
      </c>
      <c r="I162" s="3" t="n">
        <v>101280</v>
      </c>
      <c r="J162" s="3" t="n">
        <v>101280</v>
      </c>
      <c r="K162" s="3" t="n">
        <v>0</v>
      </c>
    </row>
    <row r="163" customFormat="false" ht="15" hidden="false" customHeight="false" outlineLevel="0" collapsed="false">
      <c r="A163" s="2" t="n">
        <v>1239</v>
      </c>
      <c r="B163" s="2" t="s">
        <v>107</v>
      </c>
      <c r="C163" s="2" t="s">
        <v>12</v>
      </c>
      <c r="D163" s="2" t="s">
        <v>13</v>
      </c>
      <c r="E163" s="3" t="n">
        <v>2580</v>
      </c>
      <c r="F163" s="4" t="n">
        <v>0</v>
      </c>
      <c r="G163" s="2" t="n">
        <v>14</v>
      </c>
      <c r="H163" s="3" t="n">
        <v>2064</v>
      </c>
      <c r="I163" s="3" t="n">
        <v>36120</v>
      </c>
      <c r="J163" s="3" t="n">
        <v>28896</v>
      </c>
      <c r="K163" s="3" t="n">
        <v>7224</v>
      </c>
    </row>
    <row r="164" customFormat="false" ht="15" hidden="false" customHeight="false" outlineLevel="0" collapsed="false">
      <c r="A164" s="2" t="n">
        <v>1118</v>
      </c>
      <c r="B164" s="2" t="s">
        <v>107</v>
      </c>
      <c r="C164" s="2" t="s">
        <v>12</v>
      </c>
      <c r="D164" s="2" t="s">
        <v>13</v>
      </c>
      <c r="E164" s="3" t="n">
        <v>1540</v>
      </c>
      <c r="F164" s="4" t="n">
        <v>0.3</v>
      </c>
      <c r="G164" s="2" t="n">
        <v>29</v>
      </c>
      <c r="H164" s="3" t="n">
        <v>1232</v>
      </c>
      <c r="I164" s="3" t="n">
        <v>31262</v>
      </c>
      <c r="J164" s="3" t="n">
        <v>35728</v>
      </c>
      <c r="K164" s="3" t="n">
        <v>-4466</v>
      </c>
    </row>
    <row r="165" customFormat="false" ht="15" hidden="false" customHeight="false" outlineLevel="0" collapsed="false">
      <c r="A165" s="2" t="n">
        <v>1274</v>
      </c>
      <c r="B165" s="2" t="s">
        <v>107</v>
      </c>
      <c r="C165" s="2" t="s">
        <v>15</v>
      </c>
      <c r="D165" s="2" t="s">
        <v>17</v>
      </c>
      <c r="E165" s="3" t="n">
        <v>1480</v>
      </c>
      <c r="F165" s="4" t="n">
        <v>0.4</v>
      </c>
      <c r="G165" s="2" t="n">
        <v>24</v>
      </c>
      <c r="H165" s="3" t="n">
        <v>917.6</v>
      </c>
      <c r="I165" s="3" t="n">
        <v>21312</v>
      </c>
      <c r="J165" s="3" t="n">
        <v>22022.4</v>
      </c>
      <c r="K165" s="3" t="n">
        <v>-710.4</v>
      </c>
    </row>
    <row r="166" customFormat="false" ht="15" hidden="false" customHeight="false" outlineLevel="0" collapsed="false">
      <c r="A166" s="2" t="n">
        <v>1094</v>
      </c>
      <c r="B166" s="2" t="s">
        <v>108</v>
      </c>
      <c r="C166" s="2" t="s">
        <v>12</v>
      </c>
      <c r="D166" s="2" t="s">
        <v>27</v>
      </c>
      <c r="E166" s="3" t="n">
        <v>1640</v>
      </c>
      <c r="F166" s="4" t="n">
        <v>0.4</v>
      </c>
      <c r="G166" s="2" t="n">
        <v>39</v>
      </c>
      <c r="H166" s="3" t="n">
        <v>1312</v>
      </c>
      <c r="I166" s="3" t="n">
        <v>38376</v>
      </c>
      <c r="J166" s="3" t="n">
        <v>51168</v>
      </c>
      <c r="K166" s="3" t="n">
        <v>-12792</v>
      </c>
    </row>
    <row r="167" customFormat="false" ht="15" hidden="false" customHeight="false" outlineLevel="0" collapsed="false">
      <c r="A167" s="2" t="n">
        <v>1135</v>
      </c>
      <c r="B167" s="2" t="s">
        <v>109</v>
      </c>
      <c r="C167" s="2" t="s">
        <v>20</v>
      </c>
      <c r="D167" s="2" t="s">
        <v>33</v>
      </c>
      <c r="E167" s="3" t="n">
        <v>1290</v>
      </c>
      <c r="F167" s="4" t="n">
        <v>0.2</v>
      </c>
      <c r="G167" s="2" t="n">
        <v>21</v>
      </c>
      <c r="H167" s="3" t="n">
        <v>645</v>
      </c>
      <c r="I167" s="3" t="n">
        <v>21672</v>
      </c>
      <c r="J167" s="3" t="n">
        <v>13545</v>
      </c>
      <c r="K167" s="3" t="n">
        <v>8127</v>
      </c>
    </row>
    <row r="168" customFormat="false" ht="15" hidden="false" customHeight="false" outlineLevel="0" collapsed="false">
      <c r="A168" s="2" t="n">
        <v>1204</v>
      </c>
      <c r="B168" s="2" t="s">
        <v>109</v>
      </c>
      <c r="C168" s="2" t="s">
        <v>20</v>
      </c>
      <c r="D168" s="2" t="s">
        <v>33</v>
      </c>
      <c r="E168" s="3" t="n">
        <v>880</v>
      </c>
      <c r="F168" s="4" t="n">
        <v>0.2</v>
      </c>
      <c r="G168" s="2" t="n">
        <v>40</v>
      </c>
      <c r="H168" s="3" t="n">
        <v>440</v>
      </c>
      <c r="I168" s="3" t="n">
        <v>28160</v>
      </c>
      <c r="J168" s="3" t="n">
        <v>17600</v>
      </c>
      <c r="K168" s="3" t="n">
        <v>10560</v>
      </c>
    </row>
    <row r="169" customFormat="false" ht="15" hidden="false" customHeight="false" outlineLevel="0" collapsed="false">
      <c r="A169" s="2" t="n">
        <v>1093</v>
      </c>
      <c r="B169" s="2" t="s">
        <v>110</v>
      </c>
      <c r="C169" s="2" t="s">
        <v>20</v>
      </c>
      <c r="D169" s="2" t="s">
        <v>33</v>
      </c>
      <c r="E169" s="3" t="n">
        <v>1080</v>
      </c>
      <c r="F169" s="4" t="n">
        <v>0.1</v>
      </c>
      <c r="G169" s="2" t="n">
        <v>36</v>
      </c>
      <c r="H169" s="3" t="n">
        <v>540</v>
      </c>
      <c r="I169" s="3" t="n">
        <v>34992</v>
      </c>
      <c r="J169" s="3" t="n">
        <v>19440</v>
      </c>
      <c r="K169" s="3" t="n">
        <v>15552</v>
      </c>
    </row>
    <row r="170" customFormat="false" ht="15" hidden="false" customHeight="false" outlineLevel="0" collapsed="false">
      <c r="A170" s="2" t="n">
        <v>1183</v>
      </c>
      <c r="B170" s="2" t="s">
        <v>110</v>
      </c>
      <c r="C170" s="2" t="s">
        <v>12</v>
      </c>
      <c r="D170" s="2" t="s">
        <v>29</v>
      </c>
      <c r="E170" s="3" t="n">
        <v>3170</v>
      </c>
      <c r="F170" s="4" t="n">
        <v>0.2</v>
      </c>
      <c r="G170" s="2" t="n">
        <v>28</v>
      </c>
      <c r="H170" s="3" t="n">
        <v>2536</v>
      </c>
      <c r="I170" s="3" t="n">
        <v>71008</v>
      </c>
      <c r="J170" s="3" t="n">
        <v>71008</v>
      </c>
      <c r="K170" s="3" t="n">
        <v>0</v>
      </c>
    </row>
    <row r="171" customFormat="false" ht="15" hidden="false" customHeight="false" outlineLevel="0" collapsed="false">
      <c r="A171" s="2" t="n">
        <v>1203</v>
      </c>
      <c r="B171" s="2" t="s">
        <v>110</v>
      </c>
      <c r="C171" s="2" t="s">
        <v>15</v>
      </c>
      <c r="D171" s="2" t="s">
        <v>16</v>
      </c>
      <c r="E171" s="3" t="n">
        <v>2540</v>
      </c>
      <c r="F171" s="4" t="n">
        <v>0.4</v>
      </c>
      <c r="G171" s="2" t="n">
        <v>19</v>
      </c>
      <c r="H171" s="3" t="n">
        <v>1574.8</v>
      </c>
      <c r="I171" s="3" t="n">
        <v>28956</v>
      </c>
      <c r="J171" s="3" t="n">
        <v>29921.2</v>
      </c>
      <c r="K171" s="3" t="n">
        <v>-965.2</v>
      </c>
    </row>
    <row r="172" customFormat="false" ht="15" hidden="false" customHeight="false" outlineLevel="0" collapsed="false">
      <c r="A172" s="2" t="n">
        <v>1037</v>
      </c>
      <c r="B172" s="2" t="s">
        <v>111</v>
      </c>
      <c r="C172" s="2" t="s">
        <v>15</v>
      </c>
      <c r="D172" s="2" t="s">
        <v>16</v>
      </c>
      <c r="E172" s="3" t="n">
        <v>1930</v>
      </c>
      <c r="F172" s="4" t="n">
        <v>0.2</v>
      </c>
      <c r="G172" s="2" t="n">
        <v>33</v>
      </c>
      <c r="H172" s="3" t="n">
        <v>1196.6</v>
      </c>
      <c r="I172" s="3" t="n">
        <v>50952</v>
      </c>
      <c r="J172" s="3" t="n">
        <v>39487.8</v>
      </c>
      <c r="K172" s="3" t="n">
        <v>11464.2</v>
      </c>
    </row>
    <row r="173" customFormat="false" ht="15" hidden="false" customHeight="false" outlineLevel="0" collapsed="false">
      <c r="A173" s="2" t="n">
        <v>1207</v>
      </c>
      <c r="B173" s="2" t="s">
        <v>112</v>
      </c>
      <c r="C173" s="2" t="s">
        <v>20</v>
      </c>
      <c r="D173" s="2" t="s">
        <v>31</v>
      </c>
      <c r="E173" s="3" t="n">
        <v>630</v>
      </c>
      <c r="F173" s="4" t="n">
        <v>0.2</v>
      </c>
      <c r="G173" s="2" t="n">
        <v>21</v>
      </c>
      <c r="H173" s="3" t="n">
        <v>315</v>
      </c>
      <c r="I173" s="3" t="n">
        <v>10584</v>
      </c>
      <c r="J173" s="3" t="n">
        <v>6615</v>
      </c>
      <c r="K173" s="3" t="n">
        <v>3969</v>
      </c>
    </row>
    <row r="174" customFormat="false" ht="15" hidden="false" customHeight="false" outlineLevel="0" collapsed="false">
      <c r="A174" s="2" t="n">
        <v>1061</v>
      </c>
      <c r="B174" s="2" t="s">
        <v>112</v>
      </c>
      <c r="C174" s="2" t="s">
        <v>12</v>
      </c>
      <c r="D174" s="2" t="s">
        <v>27</v>
      </c>
      <c r="E174" s="3" t="n">
        <v>2340</v>
      </c>
      <c r="F174" s="4" t="n">
        <v>0.4</v>
      </c>
      <c r="G174" s="2" t="n">
        <v>38</v>
      </c>
      <c r="H174" s="3" t="n">
        <v>1872</v>
      </c>
      <c r="I174" s="3" t="n">
        <v>53352</v>
      </c>
      <c r="J174" s="3" t="n">
        <v>71136</v>
      </c>
      <c r="K174" s="3" t="n">
        <v>-17784</v>
      </c>
    </row>
    <row r="175" customFormat="false" ht="15" hidden="false" customHeight="false" outlineLevel="0" collapsed="false">
      <c r="A175" s="2" t="n">
        <v>1263</v>
      </c>
      <c r="B175" s="2" t="s">
        <v>113</v>
      </c>
      <c r="C175" s="2" t="s">
        <v>12</v>
      </c>
      <c r="D175" s="2" t="s">
        <v>27</v>
      </c>
      <c r="E175" s="3" t="n">
        <v>4100</v>
      </c>
      <c r="F175" s="4" t="n">
        <v>0.4</v>
      </c>
      <c r="G175" s="2" t="n">
        <v>24</v>
      </c>
      <c r="H175" s="3" t="n">
        <v>3280</v>
      </c>
      <c r="I175" s="3" t="n">
        <v>59040</v>
      </c>
      <c r="J175" s="3" t="n">
        <v>78720</v>
      </c>
      <c r="K175" s="3" t="n">
        <v>-19680</v>
      </c>
    </row>
    <row r="176" customFormat="false" ht="15" hidden="false" customHeight="false" outlineLevel="0" collapsed="false">
      <c r="A176" s="2" t="n">
        <v>1176</v>
      </c>
      <c r="B176" s="2" t="s">
        <v>113</v>
      </c>
      <c r="C176" s="2" t="s">
        <v>20</v>
      </c>
      <c r="D176" s="2" t="s">
        <v>21</v>
      </c>
      <c r="E176" s="3" t="n">
        <v>1870</v>
      </c>
      <c r="F176" s="4" t="n">
        <v>0.4</v>
      </c>
      <c r="G176" s="2" t="n">
        <v>39</v>
      </c>
      <c r="H176" s="3" t="n">
        <v>935</v>
      </c>
      <c r="I176" s="3" t="n">
        <v>43758</v>
      </c>
      <c r="J176" s="3" t="n">
        <v>36465</v>
      </c>
      <c r="K176" s="3" t="n">
        <v>7293</v>
      </c>
    </row>
    <row r="177" customFormat="false" ht="15" hidden="false" customHeight="false" outlineLevel="0" collapsed="false">
      <c r="A177" s="2" t="n">
        <v>1285</v>
      </c>
      <c r="B177" s="2" t="s">
        <v>113</v>
      </c>
      <c r="C177" s="2" t="s">
        <v>20</v>
      </c>
      <c r="D177" s="2" t="s">
        <v>33</v>
      </c>
      <c r="E177" s="3" t="n">
        <v>1650</v>
      </c>
      <c r="F177" s="4" t="n">
        <v>0.3</v>
      </c>
      <c r="G177" s="2" t="n">
        <v>34</v>
      </c>
      <c r="H177" s="3" t="n">
        <v>825</v>
      </c>
      <c r="I177" s="3" t="n">
        <v>39270</v>
      </c>
      <c r="J177" s="3" t="n">
        <v>28050</v>
      </c>
      <c r="K177" s="3" t="n">
        <v>11220</v>
      </c>
    </row>
    <row r="178" customFormat="false" ht="15" hidden="false" customHeight="false" outlineLevel="0" collapsed="false">
      <c r="A178" s="2" t="n">
        <v>1309</v>
      </c>
      <c r="B178" s="2" t="s">
        <v>114</v>
      </c>
      <c r="C178" s="2" t="s">
        <v>15</v>
      </c>
      <c r="D178" s="2" t="s">
        <v>17</v>
      </c>
      <c r="E178" s="3" t="n">
        <v>820</v>
      </c>
      <c r="F178" s="4" t="n">
        <v>0.3</v>
      </c>
      <c r="G178" s="2" t="n">
        <v>15</v>
      </c>
      <c r="H178" s="3" t="n">
        <v>508.4</v>
      </c>
      <c r="I178" s="3" t="n">
        <v>8610</v>
      </c>
      <c r="J178" s="3" t="n">
        <v>7626</v>
      </c>
      <c r="K178" s="3" t="n">
        <v>984</v>
      </c>
    </row>
    <row r="179" customFormat="false" ht="15" hidden="false" customHeight="false" outlineLevel="0" collapsed="false">
      <c r="A179" s="2" t="n">
        <v>1182</v>
      </c>
      <c r="B179" s="2" t="s">
        <v>114</v>
      </c>
      <c r="C179" s="2" t="s">
        <v>20</v>
      </c>
      <c r="D179" s="2" t="s">
        <v>33</v>
      </c>
      <c r="E179" s="3" t="n">
        <v>750</v>
      </c>
      <c r="F179" s="4" t="n">
        <v>0.1</v>
      </c>
      <c r="G179" s="2" t="n">
        <v>19</v>
      </c>
      <c r="H179" s="3" t="n">
        <v>375</v>
      </c>
      <c r="I179" s="3" t="n">
        <v>12825</v>
      </c>
      <c r="J179" s="3" t="n">
        <v>7125</v>
      </c>
      <c r="K179" s="3" t="n">
        <v>5700</v>
      </c>
    </row>
    <row r="180" customFormat="false" ht="15" hidden="false" customHeight="false" outlineLevel="0" collapsed="false">
      <c r="A180" s="2" t="n">
        <v>1000</v>
      </c>
      <c r="B180" s="2" t="s">
        <v>114</v>
      </c>
      <c r="C180" s="2" t="s">
        <v>20</v>
      </c>
      <c r="D180" s="2" t="s">
        <v>24</v>
      </c>
      <c r="E180" s="3" t="n">
        <v>2110</v>
      </c>
      <c r="F180" s="4" t="n">
        <v>0.2</v>
      </c>
      <c r="G180" s="2" t="n">
        <v>25</v>
      </c>
      <c r="H180" s="3" t="n">
        <v>1055</v>
      </c>
      <c r="I180" s="3" t="n">
        <v>42200</v>
      </c>
      <c r="J180" s="3" t="n">
        <v>26375</v>
      </c>
      <c r="K180" s="3" t="n">
        <v>15825</v>
      </c>
    </row>
    <row r="181" customFormat="false" ht="15" hidden="false" customHeight="false" outlineLevel="0" collapsed="false">
      <c r="A181" s="2" t="n">
        <v>1023</v>
      </c>
      <c r="B181" s="2" t="s">
        <v>114</v>
      </c>
      <c r="C181" s="2" t="s">
        <v>12</v>
      </c>
      <c r="D181" s="2" t="s">
        <v>27</v>
      </c>
      <c r="E181" s="3" t="n">
        <v>2610</v>
      </c>
      <c r="F181" s="4" t="n">
        <v>0.3</v>
      </c>
      <c r="G181" s="2" t="n">
        <v>41</v>
      </c>
      <c r="H181" s="3" t="n">
        <v>2088</v>
      </c>
      <c r="I181" s="3" t="n">
        <v>74907</v>
      </c>
      <c r="J181" s="3" t="n">
        <v>85608</v>
      </c>
      <c r="K181" s="3" t="n">
        <v>-10701</v>
      </c>
    </row>
    <row r="182" customFormat="false" ht="15" hidden="false" customHeight="false" outlineLevel="0" collapsed="false">
      <c r="A182" s="2" t="n">
        <v>1293</v>
      </c>
      <c r="B182" s="2" t="s">
        <v>115</v>
      </c>
      <c r="C182" s="2" t="s">
        <v>20</v>
      </c>
      <c r="D182" s="2" t="s">
        <v>24</v>
      </c>
      <c r="E182" s="3" t="n">
        <v>1090</v>
      </c>
      <c r="F182" s="4" t="n">
        <v>0.3</v>
      </c>
      <c r="G182" s="2" t="n">
        <v>24</v>
      </c>
      <c r="H182" s="3" t="n">
        <v>545</v>
      </c>
      <c r="I182" s="3" t="n">
        <v>18312</v>
      </c>
      <c r="J182" s="3" t="n">
        <v>13080</v>
      </c>
      <c r="K182" s="3" t="n">
        <v>5232</v>
      </c>
    </row>
    <row r="183" customFormat="false" ht="15" hidden="false" customHeight="false" outlineLevel="0" collapsed="false">
      <c r="A183" s="2" t="n">
        <v>1131</v>
      </c>
      <c r="B183" s="2" t="s">
        <v>115</v>
      </c>
      <c r="C183" s="2" t="s">
        <v>12</v>
      </c>
      <c r="D183" s="2" t="s">
        <v>13</v>
      </c>
      <c r="E183" s="3" t="n">
        <v>3140</v>
      </c>
      <c r="F183" s="4" t="n">
        <v>0.1</v>
      </c>
      <c r="G183" s="2" t="n">
        <v>20</v>
      </c>
      <c r="H183" s="3" t="n">
        <v>2512</v>
      </c>
      <c r="I183" s="3" t="n">
        <v>56520</v>
      </c>
      <c r="J183" s="3" t="n">
        <v>50240</v>
      </c>
      <c r="K183" s="3" t="n">
        <v>6280</v>
      </c>
    </row>
    <row r="184" customFormat="false" ht="15" hidden="false" customHeight="false" outlineLevel="0" collapsed="false">
      <c r="A184" s="2" t="n">
        <v>1105</v>
      </c>
      <c r="B184" s="2" t="s">
        <v>115</v>
      </c>
      <c r="C184" s="2" t="s">
        <v>12</v>
      </c>
      <c r="D184" s="2" t="s">
        <v>27</v>
      </c>
      <c r="E184" s="3" t="n">
        <v>1620</v>
      </c>
      <c r="F184" s="4" t="n">
        <v>0.2</v>
      </c>
      <c r="G184" s="2" t="n">
        <v>40</v>
      </c>
      <c r="H184" s="3" t="n">
        <v>1296</v>
      </c>
      <c r="I184" s="3" t="n">
        <v>51840</v>
      </c>
      <c r="J184" s="3" t="n">
        <v>51840</v>
      </c>
      <c r="K184" s="3" t="n">
        <v>0</v>
      </c>
    </row>
    <row r="185" customFormat="false" ht="15" hidden="false" customHeight="false" outlineLevel="0" collapsed="false">
      <c r="A185" s="2" t="n">
        <v>1082</v>
      </c>
      <c r="B185" s="2" t="s">
        <v>116</v>
      </c>
      <c r="C185" s="2" t="s">
        <v>15</v>
      </c>
      <c r="D185" s="2" t="s">
        <v>35</v>
      </c>
      <c r="E185" s="3" t="n">
        <v>1160</v>
      </c>
      <c r="F185" s="4" t="n">
        <v>0.1</v>
      </c>
      <c r="G185" s="2" t="n">
        <v>18</v>
      </c>
      <c r="H185" s="3" t="n">
        <v>719.2</v>
      </c>
      <c r="I185" s="3" t="n">
        <v>18792</v>
      </c>
      <c r="J185" s="3" t="n">
        <v>12945.6</v>
      </c>
      <c r="K185" s="3" t="n">
        <v>5846.4</v>
      </c>
    </row>
    <row r="186" customFormat="false" ht="15" hidden="false" customHeight="false" outlineLevel="0" collapsed="false">
      <c r="A186" s="2" t="n">
        <v>1241</v>
      </c>
      <c r="B186" s="2" t="s">
        <v>116</v>
      </c>
      <c r="C186" s="2" t="s">
        <v>15</v>
      </c>
      <c r="D186" s="2" t="s">
        <v>16</v>
      </c>
      <c r="E186" s="3" t="n">
        <v>1710</v>
      </c>
      <c r="F186" s="4" t="n">
        <v>0.1</v>
      </c>
      <c r="G186" s="2" t="n">
        <v>33</v>
      </c>
      <c r="H186" s="3" t="n">
        <v>1060.2</v>
      </c>
      <c r="I186" s="3" t="n">
        <v>50787</v>
      </c>
      <c r="J186" s="3" t="n">
        <v>34986.6</v>
      </c>
      <c r="K186" s="3" t="n">
        <v>15800.4</v>
      </c>
    </row>
    <row r="187" customFormat="false" ht="15" hidden="false" customHeight="false" outlineLevel="0" collapsed="false">
      <c r="A187" s="2" t="n">
        <v>1273</v>
      </c>
      <c r="B187" s="2" t="s">
        <v>117</v>
      </c>
      <c r="C187" s="2" t="s">
        <v>15</v>
      </c>
      <c r="D187" s="2" t="s">
        <v>35</v>
      </c>
      <c r="E187" s="3" t="n">
        <v>2650</v>
      </c>
      <c r="F187" s="4" t="n">
        <v>0.3</v>
      </c>
      <c r="G187" s="2" t="n">
        <v>19</v>
      </c>
      <c r="H187" s="3" t="n">
        <v>1643</v>
      </c>
      <c r="I187" s="3" t="n">
        <v>35245</v>
      </c>
      <c r="J187" s="3" t="n">
        <v>31217</v>
      </c>
      <c r="K187" s="3" t="n">
        <v>4028</v>
      </c>
    </row>
    <row r="188" customFormat="false" ht="15" hidden="false" customHeight="false" outlineLevel="0" collapsed="false">
      <c r="A188" s="2" t="n">
        <v>1168</v>
      </c>
      <c r="B188" s="2" t="s">
        <v>117</v>
      </c>
      <c r="C188" s="2" t="s">
        <v>15</v>
      </c>
      <c r="D188" s="2" t="s">
        <v>22</v>
      </c>
      <c r="E188" s="3" t="n">
        <v>1490</v>
      </c>
      <c r="F188" s="4" t="n">
        <v>0.1</v>
      </c>
      <c r="G188" s="2" t="n">
        <v>23</v>
      </c>
      <c r="H188" s="3" t="n">
        <v>923.8</v>
      </c>
      <c r="I188" s="3" t="n">
        <v>30843</v>
      </c>
      <c r="J188" s="3" t="n">
        <v>21247.4</v>
      </c>
      <c r="K188" s="3" t="n">
        <v>9595.6</v>
      </c>
    </row>
    <row r="189" customFormat="false" ht="15" hidden="false" customHeight="false" outlineLevel="0" collapsed="false">
      <c r="A189" s="2" t="n">
        <v>1234</v>
      </c>
      <c r="B189" s="2" t="s">
        <v>117</v>
      </c>
      <c r="C189" s="2" t="s">
        <v>20</v>
      </c>
      <c r="D189" s="2" t="s">
        <v>24</v>
      </c>
      <c r="E189" s="3" t="n">
        <v>1400</v>
      </c>
      <c r="F189" s="4" t="n">
        <v>0.1</v>
      </c>
      <c r="G189" s="2" t="n">
        <v>12</v>
      </c>
      <c r="H189" s="3" t="n">
        <v>700</v>
      </c>
      <c r="I189" s="3" t="n">
        <v>15120</v>
      </c>
      <c r="J189" s="3" t="n">
        <v>8400</v>
      </c>
      <c r="K189" s="3" t="n">
        <v>6720</v>
      </c>
    </row>
    <row r="190" customFormat="false" ht="15" hidden="false" customHeight="false" outlineLevel="0" collapsed="false">
      <c r="A190" s="2" t="n">
        <v>1194</v>
      </c>
      <c r="B190" s="2" t="s">
        <v>118</v>
      </c>
      <c r="C190" s="2" t="s">
        <v>20</v>
      </c>
      <c r="D190" s="2" t="s">
        <v>24</v>
      </c>
      <c r="E190" s="3" t="n">
        <v>2100</v>
      </c>
      <c r="F190" s="4" t="n">
        <v>0.4</v>
      </c>
      <c r="G190" s="2" t="n">
        <v>35</v>
      </c>
      <c r="H190" s="3" t="n">
        <v>1050</v>
      </c>
      <c r="I190" s="3" t="n">
        <v>44100</v>
      </c>
      <c r="J190" s="3" t="n">
        <v>36750</v>
      </c>
      <c r="K190" s="3" t="n">
        <v>7350</v>
      </c>
    </row>
    <row r="191" customFormat="false" ht="15" hidden="false" customHeight="false" outlineLevel="0" collapsed="false">
      <c r="A191" s="2" t="n">
        <v>1281</v>
      </c>
      <c r="B191" s="2" t="s">
        <v>119</v>
      </c>
      <c r="C191" s="2" t="s">
        <v>15</v>
      </c>
      <c r="D191" s="2" t="s">
        <v>35</v>
      </c>
      <c r="E191" s="3" t="n">
        <v>1970</v>
      </c>
      <c r="F191" s="4" t="n">
        <v>0</v>
      </c>
      <c r="G191" s="2" t="n">
        <v>11</v>
      </c>
      <c r="H191" s="3" t="n">
        <v>1221.4</v>
      </c>
      <c r="I191" s="3" t="n">
        <v>21670</v>
      </c>
      <c r="J191" s="3" t="n">
        <v>13435.4</v>
      </c>
      <c r="K191" s="3" t="n">
        <v>8234.6</v>
      </c>
    </row>
    <row r="192" customFormat="false" ht="15" hidden="false" customHeight="false" outlineLevel="0" collapsed="false">
      <c r="A192" s="2" t="n">
        <v>1251</v>
      </c>
      <c r="B192" s="2" t="s">
        <v>119</v>
      </c>
      <c r="C192" s="2" t="s">
        <v>12</v>
      </c>
      <c r="D192" s="2" t="s">
        <v>13</v>
      </c>
      <c r="E192" s="3" t="n">
        <v>3530</v>
      </c>
      <c r="F192" s="4" t="n">
        <v>0.3</v>
      </c>
      <c r="G192" s="2" t="n">
        <v>45</v>
      </c>
      <c r="H192" s="3" t="n">
        <v>2824</v>
      </c>
      <c r="I192" s="3" t="n">
        <v>111195</v>
      </c>
      <c r="J192" s="3" t="n">
        <v>127080</v>
      </c>
      <c r="K192" s="3" t="n">
        <v>-15885</v>
      </c>
    </row>
    <row r="193" customFormat="false" ht="15" hidden="false" customHeight="false" outlineLevel="0" collapsed="false">
      <c r="A193" s="2" t="n">
        <v>1240</v>
      </c>
      <c r="B193" s="2" t="s">
        <v>119</v>
      </c>
      <c r="C193" s="2" t="s">
        <v>12</v>
      </c>
      <c r="D193" s="2" t="s">
        <v>27</v>
      </c>
      <c r="E193" s="3" t="n">
        <v>2570</v>
      </c>
      <c r="F193" s="4" t="n">
        <v>0.3</v>
      </c>
      <c r="G193" s="2" t="n">
        <v>21</v>
      </c>
      <c r="H193" s="3" t="n">
        <v>2056</v>
      </c>
      <c r="I193" s="3" t="n">
        <v>37779</v>
      </c>
      <c r="J193" s="3" t="n">
        <v>43176</v>
      </c>
      <c r="K193" s="3" t="n">
        <v>-5397</v>
      </c>
    </row>
    <row r="194" customFormat="false" ht="15" hidden="false" customHeight="false" outlineLevel="0" collapsed="false">
      <c r="A194" s="2" t="n">
        <v>1264</v>
      </c>
      <c r="B194" s="2" t="s">
        <v>120</v>
      </c>
      <c r="C194" s="2" t="s">
        <v>20</v>
      </c>
      <c r="D194" s="2" t="s">
        <v>31</v>
      </c>
      <c r="E194" s="3" t="n">
        <v>2020</v>
      </c>
      <c r="F194" s="4" t="n">
        <v>0.4</v>
      </c>
      <c r="G194" s="2" t="n">
        <v>29</v>
      </c>
      <c r="H194" s="3" t="n">
        <v>1010</v>
      </c>
      <c r="I194" s="3" t="n">
        <v>35148</v>
      </c>
      <c r="J194" s="3" t="n">
        <v>29290</v>
      </c>
      <c r="K194" s="3" t="n">
        <v>5858</v>
      </c>
    </row>
    <row r="195" customFormat="false" ht="15" hidden="false" customHeight="false" outlineLevel="0" collapsed="false">
      <c r="A195" s="2" t="n">
        <v>1011</v>
      </c>
      <c r="B195" s="2" t="s">
        <v>121</v>
      </c>
      <c r="C195" s="2" t="s">
        <v>15</v>
      </c>
      <c r="D195" s="2" t="s">
        <v>35</v>
      </c>
      <c r="E195" s="3" t="n">
        <v>1750</v>
      </c>
      <c r="F195" s="4" t="n">
        <v>0.4</v>
      </c>
      <c r="G195" s="2" t="n">
        <v>48</v>
      </c>
      <c r="H195" s="3" t="n">
        <v>1085</v>
      </c>
      <c r="I195" s="3" t="n">
        <v>50400</v>
      </c>
      <c r="J195" s="3" t="n">
        <v>52080</v>
      </c>
      <c r="K195" s="3" t="n">
        <v>-1680</v>
      </c>
    </row>
    <row r="196" customFormat="false" ht="15" hidden="false" customHeight="false" outlineLevel="0" collapsed="false">
      <c r="A196" s="2" t="n">
        <v>1141</v>
      </c>
      <c r="B196" s="2" t="s">
        <v>121</v>
      </c>
      <c r="C196" s="2" t="s">
        <v>20</v>
      </c>
      <c r="D196" s="2" t="s">
        <v>31</v>
      </c>
      <c r="E196" s="3" t="n">
        <v>2110</v>
      </c>
      <c r="F196" s="4" t="n">
        <v>0.3</v>
      </c>
      <c r="G196" s="2" t="n">
        <v>33</v>
      </c>
      <c r="H196" s="3" t="n">
        <v>1055</v>
      </c>
      <c r="I196" s="3" t="n">
        <v>48741</v>
      </c>
      <c r="J196" s="3" t="n">
        <v>34815</v>
      </c>
      <c r="K196" s="3" t="n">
        <v>13926</v>
      </c>
    </row>
    <row r="197" customFormat="false" ht="15" hidden="false" customHeight="false" outlineLevel="0" collapsed="false">
      <c r="A197" s="2" t="n">
        <v>1104</v>
      </c>
      <c r="B197" s="2" t="s">
        <v>121</v>
      </c>
      <c r="C197" s="2" t="s">
        <v>15</v>
      </c>
      <c r="D197" s="2" t="s">
        <v>22</v>
      </c>
      <c r="E197" s="3" t="n">
        <v>1060</v>
      </c>
      <c r="F197" s="4" t="n">
        <v>0.2</v>
      </c>
      <c r="G197" s="2" t="n">
        <v>36</v>
      </c>
      <c r="H197" s="3" t="n">
        <v>657.2</v>
      </c>
      <c r="I197" s="3" t="n">
        <v>30528</v>
      </c>
      <c r="J197" s="3" t="n">
        <v>23659.2</v>
      </c>
      <c r="K197" s="3" t="n">
        <v>6868.8</v>
      </c>
    </row>
    <row r="198" customFormat="false" ht="15" hidden="false" customHeight="false" outlineLevel="0" collapsed="false">
      <c r="A198" s="2" t="n">
        <v>1115</v>
      </c>
      <c r="B198" s="2" t="s">
        <v>121</v>
      </c>
      <c r="C198" s="2" t="s">
        <v>12</v>
      </c>
      <c r="D198" s="2" t="s">
        <v>38</v>
      </c>
      <c r="E198" s="3" t="n">
        <v>2370</v>
      </c>
      <c r="F198" s="4" t="n">
        <v>0</v>
      </c>
      <c r="G198" s="2" t="n">
        <v>20</v>
      </c>
      <c r="H198" s="3" t="n">
        <v>1896</v>
      </c>
      <c r="I198" s="3" t="n">
        <v>47400</v>
      </c>
      <c r="J198" s="3" t="n">
        <v>37920</v>
      </c>
      <c r="K198" s="3" t="n">
        <v>9480</v>
      </c>
    </row>
    <row r="199" customFormat="false" ht="15" hidden="false" customHeight="false" outlineLevel="0" collapsed="false">
      <c r="A199" s="2" t="n">
        <v>1316</v>
      </c>
      <c r="B199" s="2" t="s">
        <v>122</v>
      </c>
      <c r="C199" s="2" t="s">
        <v>20</v>
      </c>
      <c r="D199" s="2" t="s">
        <v>33</v>
      </c>
      <c r="E199" s="3" t="n">
        <v>1920</v>
      </c>
      <c r="F199" s="4" t="n">
        <v>0.4</v>
      </c>
      <c r="G199" s="2" t="n">
        <v>24</v>
      </c>
      <c r="H199" s="3" t="n">
        <v>960</v>
      </c>
      <c r="I199" s="3" t="n">
        <v>27648</v>
      </c>
      <c r="J199" s="3" t="n">
        <v>23040</v>
      </c>
      <c r="K199" s="3" t="n">
        <v>4608</v>
      </c>
    </row>
    <row r="200" customFormat="false" ht="15" hidden="false" customHeight="false" outlineLevel="0" collapsed="false">
      <c r="A200" s="2" t="n">
        <v>1071</v>
      </c>
      <c r="B200" s="2" t="s">
        <v>122</v>
      </c>
      <c r="C200" s="2" t="s">
        <v>20</v>
      </c>
      <c r="D200" s="2" t="s">
        <v>33</v>
      </c>
      <c r="E200" s="3" t="n">
        <v>830</v>
      </c>
      <c r="F200" s="4" t="n">
        <v>0</v>
      </c>
      <c r="G200" s="2" t="n">
        <v>24</v>
      </c>
      <c r="H200" s="3" t="n">
        <v>415</v>
      </c>
      <c r="I200" s="3" t="n">
        <v>19920</v>
      </c>
      <c r="J200" s="3" t="n">
        <v>9960</v>
      </c>
      <c r="K200" s="3" t="n">
        <v>9960</v>
      </c>
    </row>
    <row r="201" customFormat="false" ht="15" hidden="false" customHeight="false" outlineLevel="0" collapsed="false">
      <c r="A201" s="2" t="n">
        <v>1153</v>
      </c>
      <c r="B201" s="2" t="s">
        <v>123</v>
      </c>
      <c r="C201" s="2" t="s">
        <v>20</v>
      </c>
      <c r="D201" s="2" t="s">
        <v>31</v>
      </c>
      <c r="E201" s="3" t="n">
        <v>930</v>
      </c>
      <c r="F201" s="4" t="n">
        <v>0.2</v>
      </c>
      <c r="G201" s="2" t="n">
        <v>37</v>
      </c>
      <c r="H201" s="3" t="n">
        <v>465</v>
      </c>
      <c r="I201" s="3" t="n">
        <v>27528</v>
      </c>
      <c r="J201" s="3" t="n">
        <v>17205</v>
      </c>
      <c r="K201" s="3" t="n">
        <v>10323</v>
      </c>
    </row>
    <row r="202" customFormat="false" ht="15" hidden="false" customHeight="false" outlineLevel="0" collapsed="false">
      <c r="A202" s="2" t="n">
        <v>1259</v>
      </c>
      <c r="B202" s="2" t="s">
        <v>123</v>
      </c>
      <c r="C202" s="2" t="s">
        <v>15</v>
      </c>
      <c r="D202" s="2" t="s">
        <v>17</v>
      </c>
      <c r="E202" s="3" t="n">
        <v>1690</v>
      </c>
      <c r="F202" s="4" t="n">
        <v>0</v>
      </c>
      <c r="G202" s="2" t="n">
        <v>17</v>
      </c>
      <c r="H202" s="3" t="n">
        <v>1047.8</v>
      </c>
      <c r="I202" s="3" t="n">
        <v>28730</v>
      </c>
      <c r="J202" s="3" t="n">
        <v>17812.6</v>
      </c>
      <c r="K202" s="3" t="n">
        <v>10917.4</v>
      </c>
    </row>
    <row r="203" customFormat="false" ht="15" hidden="false" customHeight="false" outlineLevel="0" collapsed="false">
      <c r="A203" s="2" t="n">
        <v>1096</v>
      </c>
      <c r="B203" s="2" t="s">
        <v>123</v>
      </c>
      <c r="C203" s="2" t="s">
        <v>12</v>
      </c>
      <c r="D203" s="2" t="s">
        <v>13</v>
      </c>
      <c r="E203" s="3" t="n">
        <v>2690</v>
      </c>
      <c r="F203" s="4" t="n">
        <v>0</v>
      </c>
      <c r="G203" s="2" t="n">
        <v>21</v>
      </c>
      <c r="H203" s="3" t="n">
        <v>2152</v>
      </c>
      <c r="I203" s="3" t="n">
        <v>56490</v>
      </c>
      <c r="J203" s="3" t="n">
        <v>45192</v>
      </c>
      <c r="K203" s="3" t="n">
        <v>11298</v>
      </c>
    </row>
    <row r="204" customFormat="false" ht="15" hidden="false" customHeight="false" outlineLevel="0" collapsed="false">
      <c r="A204" s="2" t="n">
        <v>1164</v>
      </c>
      <c r="B204" s="2" t="s">
        <v>124</v>
      </c>
      <c r="C204" s="2" t="s">
        <v>12</v>
      </c>
      <c r="D204" s="2" t="s">
        <v>29</v>
      </c>
      <c r="E204" s="3" t="n">
        <v>3070</v>
      </c>
      <c r="F204" s="4" t="n">
        <v>0.2</v>
      </c>
      <c r="G204" s="2" t="n">
        <v>34</v>
      </c>
      <c r="H204" s="3" t="n">
        <v>2456</v>
      </c>
      <c r="I204" s="3" t="n">
        <v>83504</v>
      </c>
      <c r="J204" s="3" t="n">
        <v>83504</v>
      </c>
      <c r="K204" s="3" t="n">
        <v>0</v>
      </c>
    </row>
    <row r="205" customFormat="false" ht="15" hidden="false" customHeight="false" outlineLevel="0" collapsed="false">
      <c r="A205" s="2" t="n">
        <v>1040</v>
      </c>
      <c r="B205" s="2" t="s">
        <v>125</v>
      </c>
      <c r="C205" s="2" t="s">
        <v>20</v>
      </c>
      <c r="D205" s="2" t="s">
        <v>21</v>
      </c>
      <c r="E205" s="3" t="n">
        <v>1580</v>
      </c>
      <c r="F205" s="4" t="n">
        <v>0</v>
      </c>
      <c r="G205" s="2" t="n">
        <v>20</v>
      </c>
      <c r="H205" s="3" t="n">
        <v>790</v>
      </c>
      <c r="I205" s="3" t="n">
        <v>31600</v>
      </c>
      <c r="J205" s="3" t="n">
        <v>15800</v>
      </c>
      <c r="K205" s="3" t="n">
        <v>15800</v>
      </c>
    </row>
    <row r="206" customFormat="false" ht="15" hidden="false" customHeight="false" outlineLevel="0" collapsed="false">
      <c r="A206" s="2" t="n">
        <v>1029</v>
      </c>
      <c r="B206" s="2" t="s">
        <v>126</v>
      </c>
      <c r="C206" s="2" t="s">
        <v>20</v>
      </c>
      <c r="D206" s="2" t="s">
        <v>21</v>
      </c>
      <c r="E206" s="3" t="n">
        <v>1070</v>
      </c>
      <c r="F206" s="4" t="n">
        <v>0</v>
      </c>
      <c r="G206" s="2" t="n">
        <v>12</v>
      </c>
      <c r="H206" s="3" t="n">
        <v>535</v>
      </c>
      <c r="I206" s="3" t="n">
        <v>12840</v>
      </c>
      <c r="J206" s="3" t="n">
        <v>6420</v>
      </c>
      <c r="K206" s="3" t="n">
        <v>6420</v>
      </c>
    </row>
    <row r="207" customFormat="false" ht="15" hidden="false" customHeight="false" outlineLevel="0" collapsed="false">
      <c r="A207" s="2" t="n">
        <v>1272</v>
      </c>
      <c r="B207" s="2" t="s">
        <v>127</v>
      </c>
      <c r="C207" s="2" t="s">
        <v>20</v>
      </c>
      <c r="D207" s="2" t="s">
        <v>24</v>
      </c>
      <c r="E207" s="3" t="n">
        <v>2080</v>
      </c>
      <c r="F207" s="4" t="n">
        <v>0.2</v>
      </c>
      <c r="G207" s="2" t="n">
        <v>13</v>
      </c>
      <c r="H207" s="3" t="n">
        <v>1040</v>
      </c>
      <c r="I207" s="3" t="n">
        <v>21632</v>
      </c>
      <c r="J207" s="3" t="n">
        <v>13520</v>
      </c>
      <c r="K207" s="3" t="n">
        <v>8112</v>
      </c>
    </row>
    <row r="208" customFormat="false" ht="15" hidden="false" customHeight="false" outlineLevel="0" collapsed="false">
      <c r="A208" s="2" t="n">
        <v>1181</v>
      </c>
      <c r="B208" s="2" t="s">
        <v>127</v>
      </c>
      <c r="C208" s="2" t="s">
        <v>15</v>
      </c>
      <c r="D208" s="2" t="s">
        <v>16</v>
      </c>
      <c r="E208" s="3" t="n">
        <v>2640</v>
      </c>
      <c r="F208" s="4" t="n">
        <v>0.1</v>
      </c>
      <c r="G208" s="2" t="n">
        <v>16</v>
      </c>
      <c r="H208" s="3" t="n">
        <v>1636.8</v>
      </c>
      <c r="I208" s="3" t="n">
        <v>38016</v>
      </c>
      <c r="J208" s="3" t="n">
        <v>26188.8</v>
      </c>
      <c r="K208" s="3" t="n">
        <v>11827.2</v>
      </c>
    </row>
    <row r="209" customFormat="false" ht="15" hidden="false" customHeight="false" outlineLevel="0" collapsed="false">
      <c r="A209" s="2" t="n">
        <v>1057</v>
      </c>
      <c r="B209" s="2" t="s">
        <v>127</v>
      </c>
      <c r="C209" s="2" t="s">
        <v>15</v>
      </c>
      <c r="D209" s="2" t="s">
        <v>17</v>
      </c>
      <c r="E209" s="3" t="n">
        <v>940</v>
      </c>
      <c r="F209" s="4" t="n">
        <v>0.1</v>
      </c>
      <c r="G209" s="2" t="n">
        <v>28</v>
      </c>
      <c r="H209" s="3" t="n">
        <v>582.8</v>
      </c>
      <c r="I209" s="3" t="n">
        <v>23688</v>
      </c>
      <c r="J209" s="3" t="n">
        <v>16318.4</v>
      </c>
      <c r="K209" s="3" t="n">
        <v>7369.6</v>
      </c>
    </row>
    <row r="210" customFormat="false" ht="15" hidden="false" customHeight="false" outlineLevel="0" collapsed="false">
      <c r="A210" s="2" t="n">
        <v>1236</v>
      </c>
      <c r="B210" s="2" t="s">
        <v>128</v>
      </c>
      <c r="C210" s="2" t="s">
        <v>20</v>
      </c>
      <c r="D210" s="2" t="s">
        <v>31</v>
      </c>
      <c r="E210" s="3" t="n">
        <v>990</v>
      </c>
      <c r="F210" s="4" t="n">
        <v>0.3</v>
      </c>
      <c r="G210" s="2" t="n">
        <v>33</v>
      </c>
      <c r="H210" s="3" t="n">
        <v>495</v>
      </c>
      <c r="I210" s="3" t="n">
        <v>22869</v>
      </c>
      <c r="J210" s="3" t="n">
        <v>16335</v>
      </c>
      <c r="K210" s="3" t="n">
        <v>6534</v>
      </c>
    </row>
    <row r="211" customFormat="false" ht="15" hidden="false" customHeight="false" outlineLevel="0" collapsed="false">
      <c r="A211" s="2" t="n">
        <v>1313</v>
      </c>
      <c r="B211" s="2" t="s">
        <v>129</v>
      </c>
      <c r="C211" s="2" t="s">
        <v>15</v>
      </c>
      <c r="D211" s="2" t="s">
        <v>35</v>
      </c>
      <c r="E211" s="3" t="n">
        <v>1520</v>
      </c>
      <c r="F211" s="4" t="n">
        <v>0.4</v>
      </c>
      <c r="G211" s="2" t="n">
        <v>35</v>
      </c>
      <c r="H211" s="3" t="n">
        <v>942.4</v>
      </c>
      <c r="I211" s="3" t="n">
        <v>31920</v>
      </c>
      <c r="J211" s="3" t="n">
        <v>32984</v>
      </c>
      <c r="K211" s="3" t="n">
        <v>-1064</v>
      </c>
    </row>
    <row r="212" customFormat="false" ht="15" hidden="false" customHeight="false" outlineLevel="0" collapsed="false">
      <c r="A212" s="2" t="n">
        <v>1184</v>
      </c>
      <c r="B212" s="2" t="s">
        <v>129</v>
      </c>
      <c r="C212" s="2" t="s">
        <v>20</v>
      </c>
      <c r="D212" s="2" t="s">
        <v>33</v>
      </c>
      <c r="E212" s="3" t="n">
        <v>1350</v>
      </c>
      <c r="F212" s="4" t="n">
        <v>0.1</v>
      </c>
      <c r="G212" s="2" t="n">
        <v>26</v>
      </c>
      <c r="H212" s="3" t="n">
        <v>675</v>
      </c>
      <c r="I212" s="3" t="n">
        <v>31590</v>
      </c>
      <c r="J212" s="3" t="n">
        <v>17550</v>
      </c>
      <c r="K212" s="3" t="n">
        <v>14040</v>
      </c>
    </row>
    <row r="213" customFormat="false" ht="15" hidden="false" customHeight="false" outlineLevel="0" collapsed="false">
      <c r="A213" s="2" t="n">
        <v>1117</v>
      </c>
      <c r="B213" s="2" t="s">
        <v>130</v>
      </c>
      <c r="C213" s="2" t="s">
        <v>12</v>
      </c>
      <c r="D213" s="2" t="s">
        <v>29</v>
      </c>
      <c r="E213" s="3" t="n">
        <v>4170</v>
      </c>
      <c r="F213" s="4" t="n">
        <v>0.1</v>
      </c>
      <c r="G213" s="2" t="n">
        <v>26</v>
      </c>
      <c r="H213" s="3" t="n">
        <v>3336</v>
      </c>
      <c r="I213" s="3" t="n">
        <v>97578</v>
      </c>
      <c r="J213" s="3" t="n">
        <v>86736</v>
      </c>
      <c r="K213" s="3" t="n">
        <v>10842</v>
      </c>
    </row>
    <row r="214" customFormat="false" ht="15" hidden="false" customHeight="false" outlineLevel="0" collapsed="false">
      <c r="A214" s="2" t="n">
        <v>1188</v>
      </c>
      <c r="B214" s="2" t="s">
        <v>130</v>
      </c>
      <c r="C214" s="2" t="s">
        <v>12</v>
      </c>
      <c r="D214" s="2" t="s">
        <v>29</v>
      </c>
      <c r="E214" s="3" t="n">
        <v>1490</v>
      </c>
      <c r="F214" s="4" t="n">
        <v>0.4</v>
      </c>
      <c r="G214" s="2" t="n">
        <v>38</v>
      </c>
      <c r="H214" s="3" t="n">
        <v>1192</v>
      </c>
      <c r="I214" s="3" t="n">
        <v>33972</v>
      </c>
      <c r="J214" s="3" t="n">
        <v>45296</v>
      </c>
      <c r="K214" s="3" t="n">
        <v>-11324</v>
      </c>
    </row>
    <row r="215" customFormat="false" ht="15" hidden="false" customHeight="false" outlineLevel="0" collapsed="false">
      <c r="A215" s="2" t="n">
        <v>1075</v>
      </c>
      <c r="B215" s="2" t="s">
        <v>131</v>
      </c>
      <c r="C215" s="2" t="s">
        <v>12</v>
      </c>
      <c r="D215" s="2" t="s">
        <v>27</v>
      </c>
      <c r="E215" s="3" t="n">
        <v>1500</v>
      </c>
      <c r="F215" s="4" t="n">
        <v>0.1</v>
      </c>
      <c r="G215" s="2" t="n">
        <v>22</v>
      </c>
      <c r="H215" s="3" t="n">
        <v>1200</v>
      </c>
      <c r="I215" s="3" t="n">
        <v>29700</v>
      </c>
      <c r="J215" s="3" t="n">
        <v>26400</v>
      </c>
      <c r="K215" s="3" t="n">
        <v>3300</v>
      </c>
    </row>
    <row r="216" customFormat="false" ht="15" hidden="false" customHeight="false" outlineLevel="0" collapsed="false">
      <c r="A216" s="2" t="n">
        <v>1196</v>
      </c>
      <c r="B216" s="2" t="s">
        <v>131</v>
      </c>
      <c r="C216" s="2" t="s">
        <v>12</v>
      </c>
      <c r="D216" s="2" t="s">
        <v>29</v>
      </c>
      <c r="E216" s="3" t="n">
        <v>4400</v>
      </c>
      <c r="F216" s="4" t="n">
        <v>0</v>
      </c>
      <c r="G216" s="2" t="n">
        <v>18</v>
      </c>
      <c r="H216" s="3" t="n">
        <v>3520</v>
      </c>
      <c r="I216" s="3" t="n">
        <v>79200</v>
      </c>
      <c r="J216" s="3" t="n">
        <v>63360</v>
      </c>
      <c r="K216" s="3" t="n">
        <v>15840</v>
      </c>
    </row>
    <row r="217" customFormat="false" ht="15" hidden="false" customHeight="false" outlineLevel="0" collapsed="false">
      <c r="A217" s="2" t="n">
        <v>1277</v>
      </c>
      <c r="B217" s="2" t="s">
        <v>132</v>
      </c>
      <c r="C217" s="2" t="s">
        <v>15</v>
      </c>
      <c r="D217" s="2" t="s">
        <v>35</v>
      </c>
      <c r="E217" s="3" t="n">
        <v>2390</v>
      </c>
      <c r="F217" s="4" t="n">
        <v>0.3</v>
      </c>
      <c r="G217" s="2" t="n">
        <v>38</v>
      </c>
      <c r="H217" s="3" t="n">
        <v>1481.8</v>
      </c>
      <c r="I217" s="3" t="n">
        <v>63574</v>
      </c>
      <c r="J217" s="3" t="n">
        <v>56308.4</v>
      </c>
      <c r="K217" s="3" t="n">
        <v>7265.6</v>
      </c>
    </row>
    <row r="218" customFormat="false" ht="15" hidden="false" customHeight="false" outlineLevel="0" collapsed="false">
      <c r="A218" s="2" t="n">
        <v>1063</v>
      </c>
      <c r="B218" s="2" t="s">
        <v>133</v>
      </c>
      <c r="C218" s="2" t="s">
        <v>20</v>
      </c>
      <c r="D218" s="2" t="s">
        <v>31</v>
      </c>
      <c r="E218" s="3" t="n">
        <v>450</v>
      </c>
      <c r="F218" s="4" t="n">
        <v>0.2</v>
      </c>
      <c r="G218" s="2" t="n">
        <v>30</v>
      </c>
      <c r="H218" s="3" t="n">
        <v>225</v>
      </c>
      <c r="I218" s="3" t="n">
        <v>10800</v>
      </c>
      <c r="J218" s="3" t="n">
        <v>6750</v>
      </c>
      <c r="K218" s="3" t="n">
        <v>4050</v>
      </c>
    </row>
    <row r="219" customFormat="false" ht="15" hidden="false" customHeight="false" outlineLevel="0" collapsed="false">
      <c r="A219" s="2" t="n">
        <v>1284</v>
      </c>
      <c r="B219" s="2" t="s">
        <v>134</v>
      </c>
      <c r="C219" s="2" t="s">
        <v>15</v>
      </c>
      <c r="D219" s="2" t="s">
        <v>16</v>
      </c>
      <c r="E219" s="3" t="n">
        <v>900</v>
      </c>
      <c r="F219" s="4" t="n">
        <v>0.4</v>
      </c>
      <c r="G219" s="2" t="n">
        <v>19</v>
      </c>
      <c r="H219" s="3" t="n">
        <v>558</v>
      </c>
      <c r="I219" s="3" t="n">
        <v>10260</v>
      </c>
      <c r="J219" s="3" t="n">
        <v>10602</v>
      </c>
      <c r="K219" s="3" t="n">
        <v>-342</v>
      </c>
    </row>
    <row r="220" customFormat="false" ht="15" hidden="false" customHeight="false" outlineLevel="0" collapsed="false">
      <c r="A220" s="2" t="n">
        <v>1047</v>
      </c>
      <c r="B220" s="2" t="s">
        <v>135</v>
      </c>
      <c r="C220" s="2" t="s">
        <v>20</v>
      </c>
      <c r="D220" s="2" t="s">
        <v>24</v>
      </c>
      <c r="E220" s="3" t="n">
        <v>530</v>
      </c>
      <c r="F220" s="4" t="n">
        <v>0.1</v>
      </c>
      <c r="G220" s="2" t="n">
        <v>34</v>
      </c>
      <c r="H220" s="3" t="n">
        <v>265</v>
      </c>
      <c r="I220" s="3" t="n">
        <v>16218</v>
      </c>
      <c r="J220" s="3" t="n">
        <v>9010</v>
      </c>
      <c r="K220" s="3" t="n">
        <v>7208</v>
      </c>
    </row>
    <row r="221" customFormat="false" ht="15" hidden="false" customHeight="false" outlineLevel="0" collapsed="false">
      <c r="A221" s="2" t="n">
        <v>1039</v>
      </c>
      <c r="B221" s="2" t="s">
        <v>136</v>
      </c>
      <c r="C221" s="2" t="s">
        <v>12</v>
      </c>
      <c r="D221" s="2" t="s">
        <v>38</v>
      </c>
      <c r="E221" s="3" t="n">
        <v>1980</v>
      </c>
      <c r="F221" s="4" t="n">
        <v>0.4</v>
      </c>
      <c r="G221" s="2" t="n">
        <v>48</v>
      </c>
      <c r="H221" s="3" t="n">
        <v>1584</v>
      </c>
      <c r="I221" s="3" t="n">
        <v>57024</v>
      </c>
      <c r="J221" s="3" t="n">
        <v>76032</v>
      </c>
      <c r="K221" s="3" t="n">
        <v>-19008</v>
      </c>
    </row>
    <row r="222" customFormat="false" ht="15" hidden="false" customHeight="false" outlineLevel="0" collapsed="false">
      <c r="A222" s="2" t="n">
        <v>1022</v>
      </c>
      <c r="B222" s="2" t="s">
        <v>137</v>
      </c>
      <c r="C222" s="2" t="s">
        <v>15</v>
      </c>
      <c r="D222" s="2" t="s">
        <v>17</v>
      </c>
      <c r="E222" s="3" t="n">
        <v>1790</v>
      </c>
      <c r="F222" s="4" t="n">
        <v>0.1</v>
      </c>
      <c r="G222" s="2" t="n">
        <v>21</v>
      </c>
      <c r="H222" s="3" t="n">
        <v>1109.8</v>
      </c>
      <c r="I222" s="3" t="n">
        <v>33831</v>
      </c>
      <c r="J222" s="3" t="n">
        <v>23305.8</v>
      </c>
      <c r="K222" s="3" t="n">
        <v>10525.2</v>
      </c>
    </row>
    <row r="223" customFormat="false" ht="15" hidden="false" customHeight="false" outlineLevel="0" collapsed="false">
      <c r="A223" s="2" t="n">
        <v>1056</v>
      </c>
      <c r="B223" s="2" t="s">
        <v>137</v>
      </c>
      <c r="C223" s="2" t="s">
        <v>15</v>
      </c>
      <c r="D223" s="2" t="s">
        <v>35</v>
      </c>
      <c r="E223" s="3" t="n">
        <v>1150</v>
      </c>
      <c r="F223" s="4" t="n">
        <v>0.1</v>
      </c>
      <c r="G223" s="2" t="n">
        <v>23</v>
      </c>
      <c r="H223" s="3" t="n">
        <v>713</v>
      </c>
      <c r="I223" s="3" t="n">
        <v>23805</v>
      </c>
      <c r="J223" s="3" t="n">
        <v>16399</v>
      </c>
      <c r="K223" s="3" t="n">
        <v>7406</v>
      </c>
    </row>
    <row r="224" customFormat="false" ht="15" hidden="false" customHeight="false" outlineLevel="0" collapsed="false">
      <c r="A224" s="2" t="n">
        <v>1027</v>
      </c>
      <c r="B224" s="2" t="s">
        <v>137</v>
      </c>
      <c r="C224" s="2" t="s">
        <v>20</v>
      </c>
      <c r="D224" s="2" t="s">
        <v>33</v>
      </c>
      <c r="E224" s="3" t="n">
        <v>2160</v>
      </c>
      <c r="F224" s="4" t="n">
        <v>0.3</v>
      </c>
      <c r="G224" s="2" t="n">
        <v>21</v>
      </c>
      <c r="H224" s="3" t="n">
        <v>1080</v>
      </c>
      <c r="I224" s="3" t="n">
        <v>31752</v>
      </c>
      <c r="J224" s="3" t="n">
        <v>22680</v>
      </c>
      <c r="K224" s="3" t="n">
        <v>9072</v>
      </c>
    </row>
    <row r="225" customFormat="false" ht="15" hidden="false" customHeight="false" outlineLevel="0" collapsed="false">
      <c r="A225" s="2" t="n">
        <v>1312</v>
      </c>
      <c r="B225" s="2" t="s">
        <v>138</v>
      </c>
      <c r="C225" s="2" t="s">
        <v>15</v>
      </c>
      <c r="D225" s="2" t="s">
        <v>17</v>
      </c>
      <c r="E225" s="3" t="n">
        <v>990</v>
      </c>
      <c r="F225" s="4" t="n">
        <v>0.4</v>
      </c>
      <c r="G225" s="2" t="n">
        <v>20</v>
      </c>
      <c r="H225" s="3" t="n">
        <v>613.8</v>
      </c>
      <c r="I225" s="3" t="n">
        <v>11880</v>
      </c>
      <c r="J225" s="3" t="n">
        <v>12276</v>
      </c>
      <c r="K225" s="3" t="n">
        <v>-396</v>
      </c>
    </row>
    <row r="226" customFormat="false" ht="15" hidden="false" customHeight="false" outlineLevel="0" collapsed="false">
      <c r="A226" s="2" t="n">
        <v>1318</v>
      </c>
      <c r="B226" s="2" t="s">
        <v>138</v>
      </c>
      <c r="C226" s="2" t="s">
        <v>12</v>
      </c>
      <c r="D226" s="2" t="s">
        <v>13</v>
      </c>
      <c r="E226" s="3" t="n">
        <v>4350</v>
      </c>
      <c r="F226" s="4" t="n">
        <v>0</v>
      </c>
      <c r="G226" s="2" t="n">
        <v>18</v>
      </c>
      <c r="H226" s="3" t="n">
        <v>3480</v>
      </c>
      <c r="I226" s="3" t="n">
        <v>78300</v>
      </c>
      <c r="J226" s="3" t="n">
        <v>62640</v>
      </c>
      <c r="K226" s="3" t="n">
        <v>15660</v>
      </c>
    </row>
    <row r="227" customFormat="false" ht="15" hidden="false" customHeight="false" outlineLevel="0" collapsed="false">
      <c r="A227" s="2" t="n">
        <v>1289</v>
      </c>
      <c r="B227" s="2" t="s">
        <v>138</v>
      </c>
      <c r="C227" s="2" t="s">
        <v>15</v>
      </c>
      <c r="D227" s="2" t="s">
        <v>16</v>
      </c>
      <c r="E227" s="3" t="n">
        <v>2030</v>
      </c>
      <c r="F227" s="4" t="n">
        <v>0.3</v>
      </c>
      <c r="G227" s="2" t="n">
        <v>17</v>
      </c>
      <c r="H227" s="3" t="n">
        <v>1258.6</v>
      </c>
      <c r="I227" s="3" t="n">
        <v>24157</v>
      </c>
      <c r="J227" s="3" t="n">
        <v>21396.2</v>
      </c>
      <c r="K227" s="3" t="n">
        <v>2760.8</v>
      </c>
    </row>
    <row r="228" customFormat="false" ht="15" hidden="false" customHeight="false" outlineLevel="0" collapsed="false">
      <c r="A228" s="2" t="n">
        <v>1307</v>
      </c>
      <c r="B228" s="2" t="s">
        <v>138</v>
      </c>
      <c r="C228" s="2" t="s">
        <v>20</v>
      </c>
      <c r="D228" s="2" t="s">
        <v>21</v>
      </c>
      <c r="E228" s="3" t="n">
        <v>1100</v>
      </c>
      <c r="F228" s="4" t="n">
        <v>0.4</v>
      </c>
      <c r="G228" s="2" t="n">
        <v>17</v>
      </c>
      <c r="H228" s="3" t="n">
        <v>550</v>
      </c>
      <c r="I228" s="3" t="n">
        <v>11220</v>
      </c>
      <c r="J228" s="3" t="n">
        <v>9350</v>
      </c>
      <c r="K228" s="3" t="n">
        <v>1870</v>
      </c>
    </row>
    <row r="229" customFormat="false" ht="15" hidden="false" customHeight="false" outlineLevel="0" collapsed="false">
      <c r="A229" s="2" t="n">
        <v>1221</v>
      </c>
      <c r="B229" s="2" t="s">
        <v>139</v>
      </c>
      <c r="C229" s="2" t="s">
        <v>12</v>
      </c>
      <c r="D229" s="2" t="s">
        <v>13</v>
      </c>
      <c r="E229" s="3" t="n">
        <v>1710</v>
      </c>
      <c r="F229" s="4" t="n">
        <v>0.2</v>
      </c>
      <c r="G229" s="2" t="n">
        <v>35</v>
      </c>
      <c r="H229" s="3" t="n">
        <v>1368</v>
      </c>
      <c r="I229" s="3" t="n">
        <v>47880</v>
      </c>
      <c r="J229" s="3" t="n">
        <v>47880</v>
      </c>
      <c r="K229" s="3" t="n">
        <v>0</v>
      </c>
    </row>
    <row r="230" customFormat="false" ht="15" hidden="false" customHeight="false" outlineLevel="0" collapsed="false">
      <c r="A230" s="2" t="n">
        <v>1218</v>
      </c>
      <c r="B230" s="2" t="s">
        <v>139</v>
      </c>
      <c r="C230" s="2" t="s">
        <v>20</v>
      </c>
      <c r="D230" s="2" t="s">
        <v>24</v>
      </c>
      <c r="E230" s="3" t="n">
        <v>1940</v>
      </c>
      <c r="F230" s="4" t="n">
        <v>0.3</v>
      </c>
      <c r="G230" s="2" t="n">
        <v>26</v>
      </c>
      <c r="H230" s="3" t="n">
        <v>970</v>
      </c>
      <c r="I230" s="3" t="n">
        <v>35308</v>
      </c>
      <c r="J230" s="3" t="n">
        <v>25220</v>
      </c>
      <c r="K230" s="3" t="n">
        <v>10088</v>
      </c>
    </row>
    <row r="231" customFormat="false" ht="15" hidden="false" customHeight="false" outlineLevel="0" collapsed="false">
      <c r="A231" s="2" t="n">
        <v>1001</v>
      </c>
      <c r="B231" s="2" t="s">
        <v>139</v>
      </c>
      <c r="C231" s="2" t="s">
        <v>15</v>
      </c>
      <c r="D231" s="2" t="s">
        <v>35</v>
      </c>
      <c r="E231" s="3" t="n">
        <v>820</v>
      </c>
      <c r="F231" s="4" t="n">
        <v>0.2</v>
      </c>
      <c r="G231" s="2" t="n">
        <v>16</v>
      </c>
      <c r="H231" s="3" t="n">
        <v>508.4</v>
      </c>
      <c r="I231" s="3" t="n">
        <v>10496</v>
      </c>
      <c r="J231" s="3" t="n">
        <v>8134.4</v>
      </c>
      <c r="K231" s="3" t="n">
        <v>2361.6</v>
      </c>
    </row>
    <row r="232" customFormat="false" ht="15" hidden="false" customHeight="false" outlineLevel="0" collapsed="false">
      <c r="A232" s="2" t="n">
        <v>1008</v>
      </c>
      <c r="B232" s="2" t="s">
        <v>140</v>
      </c>
      <c r="C232" s="2" t="s">
        <v>12</v>
      </c>
      <c r="D232" s="2" t="s">
        <v>38</v>
      </c>
      <c r="E232" s="3" t="n">
        <v>1310</v>
      </c>
      <c r="F232" s="4" t="n">
        <v>0</v>
      </c>
      <c r="G232" s="2" t="n">
        <v>10</v>
      </c>
      <c r="H232" s="3" t="n">
        <v>1048</v>
      </c>
      <c r="I232" s="3" t="n">
        <v>13100</v>
      </c>
      <c r="J232" s="3" t="n">
        <v>10480</v>
      </c>
      <c r="K232" s="3" t="n">
        <v>2620</v>
      </c>
    </row>
    <row r="233" customFormat="false" ht="15" hidden="false" customHeight="false" outlineLevel="0" collapsed="false">
      <c r="A233" s="2" t="n">
        <v>1130</v>
      </c>
      <c r="B233" s="2" t="s">
        <v>140</v>
      </c>
      <c r="C233" s="2" t="s">
        <v>15</v>
      </c>
      <c r="D233" s="2" t="s">
        <v>35</v>
      </c>
      <c r="E233" s="3" t="n">
        <v>960</v>
      </c>
      <c r="F233" s="4" t="n">
        <v>0.4</v>
      </c>
      <c r="G233" s="2" t="n">
        <v>41</v>
      </c>
      <c r="H233" s="3" t="n">
        <v>595.2</v>
      </c>
      <c r="I233" s="3" t="n">
        <v>23616</v>
      </c>
      <c r="J233" s="3" t="n">
        <v>24403.2</v>
      </c>
      <c r="K233" s="3" t="n">
        <v>-787.2</v>
      </c>
    </row>
    <row r="234" customFormat="false" ht="15" hidden="false" customHeight="false" outlineLevel="0" collapsed="false">
      <c r="A234" s="2" t="n">
        <v>1201</v>
      </c>
      <c r="B234" s="2" t="s">
        <v>141</v>
      </c>
      <c r="C234" s="2" t="s">
        <v>12</v>
      </c>
      <c r="D234" s="2" t="s">
        <v>13</v>
      </c>
      <c r="E234" s="3" t="n">
        <v>3630</v>
      </c>
      <c r="F234" s="4" t="n">
        <v>0.1</v>
      </c>
      <c r="G234" s="2" t="n">
        <v>25</v>
      </c>
      <c r="H234" s="3" t="n">
        <v>2904</v>
      </c>
      <c r="I234" s="3" t="n">
        <v>81675</v>
      </c>
      <c r="J234" s="3" t="n">
        <v>72600</v>
      </c>
      <c r="K234" s="3" t="n">
        <v>9075</v>
      </c>
    </row>
    <row r="235" customFormat="false" ht="15" hidden="false" customHeight="false" outlineLevel="0" collapsed="false">
      <c r="A235" s="2" t="n">
        <v>1303</v>
      </c>
      <c r="B235" s="2" t="s">
        <v>142</v>
      </c>
      <c r="C235" s="2" t="s">
        <v>15</v>
      </c>
      <c r="D235" s="2" t="s">
        <v>16</v>
      </c>
      <c r="E235" s="3" t="n">
        <v>2280</v>
      </c>
      <c r="F235" s="4" t="n">
        <v>0.4</v>
      </c>
      <c r="G235" s="2" t="n">
        <v>22</v>
      </c>
      <c r="H235" s="3" t="n">
        <v>1413.6</v>
      </c>
      <c r="I235" s="3" t="n">
        <v>30096</v>
      </c>
      <c r="J235" s="3" t="n">
        <v>31099.2</v>
      </c>
      <c r="K235" s="3" t="n">
        <v>-1003.2</v>
      </c>
    </row>
    <row r="236" customFormat="false" ht="15" hidden="false" customHeight="false" outlineLevel="0" collapsed="false">
      <c r="A236" s="2" t="n">
        <v>1021</v>
      </c>
      <c r="B236" s="2" t="s">
        <v>142</v>
      </c>
      <c r="C236" s="2" t="s">
        <v>20</v>
      </c>
      <c r="D236" s="2" t="s">
        <v>21</v>
      </c>
      <c r="E236" s="3" t="n">
        <v>690</v>
      </c>
      <c r="F236" s="4" t="n">
        <v>0.1</v>
      </c>
      <c r="G236" s="2" t="n">
        <v>25</v>
      </c>
      <c r="H236" s="3" t="n">
        <v>345</v>
      </c>
      <c r="I236" s="3" t="n">
        <v>15525</v>
      </c>
      <c r="J236" s="3" t="n">
        <v>8625</v>
      </c>
      <c r="K236" s="3" t="n">
        <v>6900</v>
      </c>
    </row>
    <row r="237" customFormat="false" ht="15" hidden="false" customHeight="false" outlineLevel="0" collapsed="false">
      <c r="A237" s="2" t="n">
        <v>1120</v>
      </c>
      <c r="B237" s="2" t="s">
        <v>142</v>
      </c>
      <c r="C237" s="2" t="s">
        <v>20</v>
      </c>
      <c r="D237" s="2" t="s">
        <v>31</v>
      </c>
      <c r="E237" s="3" t="n">
        <v>1120</v>
      </c>
      <c r="F237" s="4" t="n">
        <v>0.3</v>
      </c>
      <c r="G237" s="2" t="n">
        <v>37</v>
      </c>
      <c r="H237" s="3" t="n">
        <v>560</v>
      </c>
      <c r="I237" s="3" t="n">
        <v>29008</v>
      </c>
      <c r="J237" s="3" t="n">
        <v>20720</v>
      </c>
      <c r="K237" s="3" t="n">
        <v>8288</v>
      </c>
    </row>
    <row r="238" customFormat="false" ht="15" hidden="false" customHeight="false" outlineLevel="0" collapsed="false">
      <c r="A238" s="2" t="n">
        <v>1147</v>
      </c>
      <c r="B238" s="2" t="s">
        <v>143</v>
      </c>
      <c r="C238" s="2" t="s">
        <v>12</v>
      </c>
      <c r="D238" s="2" t="s">
        <v>29</v>
      </c>
      <c r="E238" s="3" t="n">
        <v>2300</v>
      </c>
      <c r="F238" s="4" t="n">
        <v>0.3</v>
      </c>
      <c r="G238" s="2" t="n">
        <v>38</v>
      </c>
      <c r="H238" s="3" t="n">
        <v>1840</v>
      </c>
      <c r="I238" s="3" t="n">
        <v>61180</v>
      </c>
      <c r="J238" s="3" t="n">
        <v>69920</v>
      </c>
      <c r="K238" s="3" t="n">
        <v>-8740</v>
      </c>
    </row>
    <row r="239" customFormat="false" ht="15" hidden="false" customHeight="false" outlineLevel="0" collapsed="false">
      <c r="A239" s="2" t="n">
        <v>1005</v>
      </c>
      <c r="B239" s="2" t="s">
        <v>143</v>
      </c>
      <c r="C239" s="2" t="s">
        <v>15</v>
      </c>
      <c r="D239" s="2" t="s">
        <v>35</v>
      </c>
      <c r="E239" s="3" t="n">
        <v>1440</v>
      </c>
      <c r="F239" s="4" t="n">
        <v>0.3</v>
      </c>
      <c r="G239" s="2" t="n">
        <v>20</v>
      </c>
      <c r="H239" s="3" t="n">
        <v>892.8</v>
      </c>
      <c r="I239" s="3" t="n">
        <v>20160</v>
      </c>
      <c r="J239" s="3" t="n">
        <v>17856</v>
      </c>
      <c r="K239" s="3" t="n">
        <v>2304</v>
      </c>
    </row>
    <row r="240" customFormat="false" ht="15" hidden="false" customHeight="false" outlineLevel="0" collapsed="false">
      <c r="A240" s="2" t="n">
        <v>1121</v>
      </c>
      <c r="B240" s="2" t="s">
        <v>144</v>
      </c>
      <c r="C240" s="2" t="s">
        <v>15</v>
      </c>
      <c r="D240" s="2" t="s">
        <v>22</v>
      </c>
      <c r="E240" s="3" t="n">
        <v>1680</v>
      </c>
      <c r="F240" s="4" t="n">
        <v>0.2</v>
      </c>
      <c r="G240" s="2" t="n">
        <v>15</v>
      </c>
      <c r="H240" s="3" t="n">
        <v>1041.6</v>
      </c>
      <c r="I240" s="3" t="n">
        <v>20160</v>
      </c>
      <c r="J240" s="3" t="n">
        <v>15624</v>
      </c>
      <c r="K240" s="3" t="n">
        <v>4536</v>
      </c>
    </row>
    <row r="241" customFormat="false" ht="15" hidden="false" customHeight="false" outlineLevel="0" collapsed="false">
      <c r="A241" s="2" t="n">
        <v>1102</v>
      </c>
      <c r="B241" s="2" t="s">
        <v>145</v>
      </c>
      <c r="C241" s="2" t="s">
        <v>15</v>
      </c>
      <c r="D241" s="2" t="s">
        <v>35</v>
      </c>
      <c r="E241" s="3" t="n">
        <v>1750</v>
      </c>
      <c r="F241" s="4" t="n">
        <v>0</v>
      </c>
      <c r="G241" s="2" t="n">
        <v>13</v>
      </c>
      <c r="H241" s="3" t="n">
        <v>1085</v>
      </c>
      <c r="I241" s="3" t="n">
        <v>22750</v>
      </c>
      <c r="J241" s="3" t="n">
        <v>14105</v>
      </c>
      <c r="K241" s="3" t="n">
        <v>8645</v>
      </c>
    </row>
    <row r="242" customFormat="false" ht="15" hidden="false" customHeight="false" outlineLevel="0" collapsed="false">
      <c r="A242" s="2" t="n">
        <v>1315</v>
      </c>
      <c r="B242" s="2" t="s">
        <v>146</v>
      </c>
      <c r="C242" s="2" t="s">
        <v>12</v>
      </c>
      <c r="D242" s="2" t="s">
        <v>13</v>
      </c>
      <c r="E242" s="3" t="n">
        <v>1340</v>
      </c>
      <c r="F242" s="4" t="n">
        <v>0</v>
      </c>
      <c r="G242" s="2" t="n">
        <v>9</v>
      </c>
      <c r="H242" s="3" t="n">
        <v>1072</v>
      </c>
      <c r="I242" s="3" t="n">
        <v>12060</v>
      </c>
      <c r="J242" s="3" t="n">
        <v>9648</v>
      </c>
      <c r="K242" s="3" t="n">
        <v>2412</v>
      </c>
    </row>
    <row r="243" customFormat="false" ht="15" hidden="false" customHeight="false" outlineLevel="0" collapsed="false">
      <c r="A243" s="2" t="n">
        <v>1224</v>
      </c>
      <c r="B243" s="2" t="s">
        <v>146</v>
      </c>
      <c r="C243" s="2" t="s">
        <v>15</v>
      </c>
      <c r="D243" s="2" t="s">
        <v>16</v>
      </c>
      <c r="E243" s="3" t="n">
        <v>1680</v>
      </c>
      <c r="F243" s="4" t="n">
        <v>0.4</v>
      </c>
      <c r="G243" s="2" t="n">
        <v>19</v>
      </c>
      <c r="H243" s="3" t="n">
        <v>1041.6</v>
      </c>
      <c r="I243" s="3" t="n">
        <v>19152</v>
      </c>
      <c r="J243" s="3" t="n">
        <v>19790.4</v>
      </c>
      <c r="K243" s="3" t="n">
        <v>-638.4</v>
      </c>
    </row>
    <row r="244" customFormat="false" ht="15" hidden="false" customHeight="false" outlineLevel="0" collapsed="false">
      <c r="A244" s="2" t="n">
        <v>1034</v>
      </c>
      <c r="B244" s="2" t="s">
        <v>147</v>
      </c>
      <c r="C244" s="2" t="s">
        <v>12</v>
      </c>
      <c r="D244" s="2" t="s">
        <v>38</v>
      </c>
      <c r="E244" s="3" t="n">
        <v>2950</v>
      </c>
      <c r="F244" s="4" t="n">
        <v>0.1</v>
      </c>
      <c r="G244" s="2" t="n">
        <v>9</v>
      </c>
      <c r="H244" s="3" t="n">
        <v>2360</v>
      </c>
      <c r="I244" s="3" t="n">
        <v>23895</v>
      </c>
      <c r="J244" s="3" t="n">
        <v>21240</v>
      </c>
      <c r="K244" s="3" t="n">
        <v>2655</v>
      </c>
    </row>
    <row r="245" customFormat="false" ht="15" hidden="false" customHeight="false" outlineLevel="0" collapsed="false">
      <c r="A245" s="2" t="n">
        <v>1077</v>
      </c>
      <c r="B245" s="2" t="s">
        <v>148</v>
      </c>
      <c r="C245" s="2" t="s">
        <v>12</v>
      </c>
      <c r="D245" s="2" t="s">
        <v>29</v>
      </c>
      <c r="E245" s="3" t="n">
        <v>3960</v>
      </c>
      <c r="F245" s="4" t="n">
        <v>0</v>
      </c>
      <c r="G245" s="2" t="n">
        <v>11</v>
      </c>
      <c r="H245" s="3" t="n">
        <v>3168</v>
      </c>
      <c r="I245" s="3" t="n">
        <v>43560</v>
      </c>
      <c r="J245" s="3" t="n">
        <v>34848</v>
      </c>
      <c r="K245" s="3" t="n">
        <v>8712</v>
      </c>
    </row>
    <row r="246" customFormat="false" ht="15" hidden="false" customHeight="false" outlineLevel="0" collapsed="false">
      <c r="A246" s="2" t="n">
        <v>1017</v>
      </c>
      <c r="B246" s="2" t="s">
        <v>149</v>
      </c>
      <c r="C246" s="2" t="s">
        <v>12</v>
      </c>
      <c r="D246" s="2" t="s">
        <v>27</v>
      </c>
      <c r="E246" s="3" t="n">
        <v>1590</v>
      </c>
      <c r="F246" s="4" t="n">
        <v>0.2</v>
      </c>
      <c r="G246" s="2" t="n">
        <v>14</v>
      </c>
      <c r="H246" s="3" t="n">
        <v>1272</v>
      </c>
      <c r="I246" s="3" t="n">
        <v>17808</v>
      </c>
      <c r="J246" s="3" t="n">
        <v>17808</v>
      </c>
      <c r="K246" s="3" t="n">
        <v>0</v>
      </c>
    </row>
    <row r="247" customFormat="false" ht="15" hidden="false" customHeight="false" outlineLevel="0" collapsed="false">
      <c r="A247" s="2" t="n">
        <v>1159</v>
      </c>
      <c r="B247" s="2" t="s">
        <v>149</v>
      </c>
      <c r="C247" s="2" t="s">
        <v>15</v>
      </c>
      <c r="D247" s="2" t="s">
        <v>35</v>
      </c>
      <c r="E247" s="3" t="n">
        <v>2720</v>
      </c>
      <c r="F247" s="4" t="n">
        <v>0.3</v>
      </c>
      <c r="G247" s="2" t="n">
        <v>20</v>
      </c>
      <c r="H247" s="3" t="n">
        <v>1686.4</v>
      </c>
      <c r="I247" s="3" t="n">
        <v>38080</v>
      </c>
      <c r="J247" s="3" t="n">
        <v>33728</v>
      </c>
      <c r="K247" s="3" t="n">
        <v>4352</v>
      </c>
    </row>
    <row r="248" customFormat="false" ht="15" hidden="false" customHeight="false" outlineLevel="0" collapsed="false">
      <c r="A248" s="2" t="n">
        <v>1265</v>
      </c>
      <c r="B248" s="2" t="s">
        <v>150</v>
      </c>
      <c r="C248" s="2" t="s">
        <v>20</v>
      </c>
      <c r="D248" s="2" t="s">
        <v>33</v>
      </c>
      <c r="E248" s="3" t="n">
        <v>620</v>
      </c>
      <c r="F248" s="4" t="n">
        <v>0</v>
      </c>
      <c r="G248" s="2" t="n">
        <v>23</v>
      </c>
      <c r="H248" s="3" t="n">
        <v>310</v>
      </c>
      <c r="I248" s="3" t="n">
        <v>14260</v>
      </c>
      <c r="J248" s="3" t="n">
        <v>7130</v>
      </c>
      <c r="K248" s="3" t="n">
        <v>7130</v>
      </c>
    </row>
    <row r="249" customFormat="false" ht="15" hidden="false" customHeight="false" outlineLevel="0" collapsed="false">
      <c r="A249" s="2" t="n">
        <v>1058</v>
      </c>
      <c r="B249" s="2" t="s">
        <v>151</v>
      </c>
      <c r="C249" s="2" t="s">
        <v>12</v>
      </c>
      <c r="D249" s="2" t="s">
        <v>38</v>
      </c>
      <c r="E249" s="3" t="n">
        <v>2910</v>
      </c>
      <c r="F249" s="4" t="n">
        <v>0.4</v>
      </c>
      <c r="G249" s="2" t="n">
        <v>18</v>
      </c>
      <c r="H249" s="3" t="n">
        <v>2328</v>
      </c>
      <c r="I249" s="3" t="n">
        <v>31428</v>
      </c>
      <c r="J249" s="3" t="n">
        <v>41904</v>
      </c>
      <c r="K249" s="3" t="n">
        <v>-10476</v>
      </c>
    </row>
    <row r="250" customFormat="false" ht="15" hidden="false" customHeight="false" outlineLevel="0" collapsed="false">
      <c r="A250" s="2" t="n">
        <v>1292</v>
      </c>
      <c r="B250" s="2" t="s">
        <v>151</v>
      </c>
      <c r="C250" s="2" t="s">
        <v>12</v>
      </c>
      <c r="D250" s="2" t="s">
        <v>27</v>
      </c>
      <c r="E250" s="3" t="n">
        <v>2970</v>
      </c>
      <c r="F250" s="4" t="n">
        <v>0</v>
      </c>
      <c r="G250" s="2" t="n">
        <v>20</v>
      </c>
      <c r="H250" s="3" t="n">
        <v>2376</v>
      </c>
      <c r="I250" s="3" t="n">
        <v>59400</v>
      </c>
      <c r="J250" s="3" t="n">
        <v>47520</v>
      </c>
      <c r="K250" s="3" t="n">
        <v>11880</v>
      </c>
    </row>
    <row r="251" customFormat="false" ht="15" hidden="false" customHeight="false" outlineLevel="0" collapsed="false">
      <c r="A251" s="2" t="n">
        <v>1074</v>
      </c>
      <c r="B251" s="2" t="s">
        <v>151</v>
      </c>
      <c r="C251" s="2" t="s">
        <v>20</v>
      </c>
      <c r="D251" s="2" t="s">
        <v>24</v>
      </c>
      <c r="E251" s="3" t="n">
        <v>990</v>
      </c>
      <c r="F251" s="4" t="n">
        <v>0.2</v>
      </c>
      <c r="G251" s="2" t="n">
        <v>21</v>
      </c>
      <c r="H251" s="3" t="n">
        <v>495</v>
      </c>
      <c r="I251" s="3" t="n">
        <v>16632</v>
      </c>
      <c r="J251" s="3" t="n">
        <v>10395</v>
      </c>
      <c r="K251" s="3" t="n">
        <v>6237</v>
      </c>
    </row>
    <row r="252" customFormat="false" ht="15" hidden="false" customHeight="false" outlineLevel="0" collapsed="false">
      <c r="A252" s="2" t="n">
        <v>1246</v>
      </c>
      <c r="B252" s="2" t="s">
        <v>152</v>
      </c>
      <c r="C252" s="2" t="s">
        <v>15</v>
      </c>
      <c r="D252" s="2" t="s">
        <v>17</v>
      </c>
      <c r="E252" s="3" t="n">
        <v>2520</v>
      </c>
      <c r="F252" s="4" t="n">
        <v>0</v>
      </c>
      <c r="G252" s="2" t="n">
        <v>8</v>
      </c>
      <c r="H252" s="3" t="n">
        <v>1562.4</v>
      </c>
      <c r="I252" s="3" t="n">
        <v>20160</v>
      </c>
      <c r="J252" s="3" t="n">
        <v>12499.2</v>
      </c>
      <c r="K252" s="3" t="n">
        <v>7660.8</v>
      </c>
    </row>
    <row r="253" customFormat="false" ht="15" hidden="false" customHeight="false" outlineLevel="0" collapsed="false">
      <c r="A253" s="2" t="n">
        <v>1220</v>
      </c>
      <c r="B253" s="2" t="s">
        <v>152</v>
      </c>
      <c r="C253" s="2" t="s">
        <v>15</v>
      </c>
      <c r="D253" s="2" t="s">
        <v>35</v>
      </c>
      <c r="E253" s="3" t="n">
        <v>1640</v>
      </c>
      <c r="F253" s="4" t="n">
        <v>0.2</v>
      </c>
      <c r="G253" s="2" t="n">
        <v>22</v>
      </c>
      <c r="H253" s="3" t="n">
        <v>1016.8</v>
      </c>
      <c r="I253" s="3" t="n">
        <v>28864</v>
      </c>
      <c r="J253" s="3" t="n">
        <v>22369.6</v>
      </c>
      <c r="K253" s="3" t="n">
        <v>6494.4</v>
      </c>
    </row>
    <row r="254" customFormat="false" ht="15" hidden="false" customHeight="false" outlineLevel="0" collapsed="false">
      <c r="A254" s="2" t="n">
        <v>1079</v>
      </c>
      <c r="B254" s="2" t="s">
        <v>152</v>
      </c>
      <c r="C254" s="2" t="s">
        <v>15</v>
      </c>
      <c r="D254" s="2" t="s">
        <v>35</v>
      </c>
      <c r="E254" s="3" t="n">
        <v>1880</v>
      </c>
      <c r="F254" s="4" t="n">
        <v>0.4</v>
      </c>
      <c r="G254" s="2" t="n">
        <v>17</v>
      </c>
      <c r="H254" s="3" t="n">
        <v>1165.6</v>
      </c>
      <c r="I254" s="3" t="n">
        <v>19176</v>
      </c>
      <c r="J254" s="3" t="n">
        <v>19815.2</v>
      </c>
      <c r="K254" s="3" t="n">
        <v>-639.2</v>
      </c>
    </row>
    <row r="255" customFormat="false" ht="15" hidden="false" customHeight="false" outlineLevel="0" collapsed="false">
      <c r="A255" s="2" t="n">
        <v>1132</v>
      </c>
      <c r="B255" s="2" t="s">
        <v>152</v>
      </c>
      <c r="C255" s="2" t="s">
        <v>15</v>
      </c>
      <c r="D255" s="2" t="s">
        <v>16</v>
      </c>
      <c r="E255" s="3" t="n">
        <v>1620</v>
      </c>
      <c r="F255" s="4" t="n">
        <v>0</v>
      </c>
      <c r="G255" s="2" t="n">
        <v>23</v>
      </c>
      <c r="H255" s="3" t="n">
        <v>1004.4</v>
      </c>
      <c r="I255" s="3" t="n">
        <v>37260</v>
      </c>
      <c r="J255" s="3" t="n">
        <v>23101.2</v>
      </c>
      <c r="K255" s="3" t="n">
        <v>14158.8</v>
      </c>
    </row>
    <row r="256" customFormat="false" ht="15" hidden="false" customHeight="false" outlineLevel="0" collapsed="false">
      <c r="A256" s="2" t="n">
        <v>1092</v>
      </c>
      <c r="B256" s="2" t="s">
        <v>153</v>
      </c>
      <c r="C256" s="2" t="s">
        <v>15</v>
      </c>
      <c r="D256" s="2" t="s">
        <v>17</v>
      </c>
      <c r="E256" s="3" t="n">
        <v>1810</v>
      </c>
      <c r="F256" s="4" t="n">
        <v>0.4</v>
      </c>
      <c r="G256" s="2" t="n">
        <v>17</v>
      </c>
      <c r="H256" s="3" t="n">
        <v>1122.2</v>
      </c>
      <c r="I256" s="3" t="n">
        <v>18462</v>
      </c>
      <c r="J256" s="3" t="n">
        <v>19077.4</v>
      </c>
      <c r="K256" s="3" t="n">
        <v>-615.4</v>
      </c>
    </row>
    <row r="257" customFormat="false" ht="15" hidden="false" customHeight="false" outlineLevel="0" collapsed="false">
      <c r="A257" s="2" t="n">
        <v>1009</v>
      </c>
      <c r="B257" s="2" t="s">
        <v>153</v>
      </c>
      <c r="C257" s="2" t="s">
        <v>15</v>
      </c>
      <c r="D257" s="2" t="s">
        <v>17</v>
      </c>
      <c r="E257" s="3" t="n">
        <v>1740</v>
      </c>
      <c r="F257" s="4" t="n">
        <v>0.1</v>
      </c>
      <c r="G257" s="2" t="n">
        <v>13</v>
      </c>
      <c r="H257" s="3" t="n">
        <v>1078.8</v>
      </c>
      <c r="I257" s="3" t="n">
        <v>20358</v>
      </c>
      <c r="J257" s="3" t="n">
        <v>14024.4</v>
      </c>
      <c r="K257" s="3" t="n">
        <v>6333.6</v>
      </c>
    </row>
    <row r="258" customFormat="false" ht="15" hidden="false" customHeight="false" outlineLevel="0" collapsed="false">
      <c r="A258" s="2" t="n">
        <v>1072</v>
      </c>
      <c r="B258" s="2" t="s">
        <v>154</v>
      </c>
      <c r="C258" s="2" t="s">
        <v>12</v>
      </c>
      <c r="D258" s="2" t="s">
        <v>29</v>
      </c>
      <c r="E258" s="3" t="n">
        <v>2180</v>
      </c>
      <c r="F258" s="4" t="n">
        <v>0.2</v>
      </c>
      <c r="G258" s="2" t="n">
        <v>34</v>
      </c>
      <c r="H258" s="3" t="n">
        <v>1744</v>
      </c>
      <c r="I258" s="3" t="n">
        <v>59296</v>
      </c>
      <c r="J258" s="3" t="n">
        <v>59296</v>
      </c>
      <c r="K258" s="3" t="n">
        <v>0</v>
      </c>
    </row>
    <row r="259" customFormat="false" ht="15" hidden="false" customHeight="false" outlineLevel="0" collapsed="false">
      <c r="A259" s="2" t="n">
        <v>1031</v>
      </c>
      <c r="B259" s="2" t="s">
        <v>154</v>
      </c>
      <c r="C259" s="2" t="s">
        <v>12</v>
      </c>
      <c r="D259" s="2" t="s">
        <v>27</v>
      </c>
      <c r="E259" s="3" t="n">
        <v>3150</v>
      </c>
      <c r="F259" s="4" t="n">
        <v>0.2</v>
      </c>
      <c r="G259" s="2" t="n">
        <v>16</v>
      </c>
      <c r="H259" s="3" t="n">
        <v>2520</v>
      </c>
      <c r="I259" s="3" t="n">
        <v>40320</v>
      </c>
      <c r="J259" s="3" t="n">
        <v>40320</v>
      </c>
      <c r="K259" s="3" t="n">
        <v>0</v>
      </c>
    </row>
    <row r="260" customFormat="false" ht="15" hidden="false" customHeight="false" outlineLevel="0" collapsed="false">
      <c r="A260" s="2" t="n">
        <v>1161</v>
      </c>
      <c r="B260" s="2" t="s">
        <v>155</v>
      </c>
      <c r="C260" s="2" t="s">
        <v>20</v>
      </c>
      <c r="D260" s="2" t="s">
        <v>24</v>
      </c>
      <c r="E260" s="3" t="n">
        <v>730</v>
      </c>
      <c r="F260" s="4" t="n">
        <v>0.3</v>
      </c>
      <c r="G260" s="2" t="n">
        <v>19</v>
      </c>
      <c r="H260" s="3" t="n">
        <v>365</v>
      </c>
      <c r="I260" s="3" t="n">
        <v>9709</v>
      </c>
      <c r="J260" s="3" t="n">
        <v>6935</v>
      </c>
      <c r="K260" s="3" t="n">
        <v>2774</v>
      </c>
    </row>
    <row r="261" customFormat="false" ht="15" hidden="false" customHeight="false" outlineLevel="0" collapsed="false">
      <c r="A261" s="2" t="n">
        <v>1288</v>
      </c>
      <c r="B261" s="2" t="s">
        <v>156</v>
      </c>
      <c r="C261" s="2" t="s">
        <v>12</v>
      </c>
      <c r="D261" s="2" t="s">
        <v>38</v>
      </c>
      <c r="E261" s="3" t="n">
        <v>1420</v>
      </c>
      <c r="F261" s="4" t="n">
        <v>0.4</v>
      </c>
      <c r="G261" s="2" t="n">
        <v>34</v>
      </c>
      <c r="H261" s="3" t="n">
        <v>1136</v>
      </c>
      <c r="I261" s="3" t="n">
        <v>28968</v>
      </c>
      <c r="J261" s="3" t="n">
        <v>38624</v>
      </c>
      <c r="K261" s="3" t="n">
        <v>-9656</v>
      </c>
    </row>
    <row r="262" customFormat="false" ht="15" hidden="false" customHeight="false" outlineLevel="0" collapsed="false">
      <c r="A262" s="2" t="n">
        <v>1144</v>
      </c>
      <c r="B262" s="2" t="s">
        <v>156</v>
      </c>
      <c r="C262" s="2" t="s">
        <v>15</v>
      </c>
      <c r="D262" s="2" t="s">
        <v>16</v>
      </c>
      <c r="E262" s="3" t="n">
        <v>2450</v>
      </c>
      <c r="F262" s="4" t="n">
        <v>0.2</v>
      </c>
      <c r="G262" s="2" t="n">
        <v>12</v>
      </c>
      <c r="H262" s="3" t="n">
        <v>1519</v>
      </c>
      <c r="I262" s="3" t="n">
        <v>23520</v>
      </c>
      <c r="J262" s="3" t="n">
        <v>18228</v>
      </c>
      <c r="K262" s="3" t="n">
        <v>5292</v>
      </c>
    </row>
    <row r="263" customFormat="false" ht="15" hidden="false" customHeight="false" outlineLevel="0" collapsed="false">
      <c r="A263" s="2" t="n">
        <v>1300</v>
      </c>
      <c r="B263" s="2" t="s">
        <v>156</v>
      </c>
      <c r="C263" s="2" t="s">
        <v>15</v>
      </c>
      <c r="D263" s="2" t="s">
        <v>17</v>
      </c>
      <c r="E263" s="3" t="n">
        <v>910</v>
      </c>
      <c r="F263" s="4" t="n">
        <v>0.3</v>
      </c>
      <c r="G263" s="2" t="n">
        <v>34</v>
      </c>
      <c r="H263" s="3" t="n">
        <v>564.2</v>
      </c>
      <c r="I263" s="3" t="n">
        <v>21658</v>
      </c>
      <c r="J263" s="3" t="n">
        <v>19182.8</v>
      </c>
      <c r="K263" s="3" t="n">
        <v>2475.2</v>
      </c>
    </row>
    <row r="264" customFormat="false" ht="15" hidden="false" customHeight="false" outlineLevel="0" collapsed="false">
      <c r="A264" s="2" t="n">
        <v>1237</v>
      </c>
      <c r="B264" s="2" t="s">
        <v>157</v>
      </c>
      <c r="C264" s="2" t="s">
        <v>12</v>
      </c>
      <c r="D264" s="2" t="s">
        <v>27</v>
      </c>
      <c r="E264" s="3" t="n">
        <v>1340</v>
      </c>
      <c r="F264" s="4" t="n">
        <v>0.3</v>
      </c>
      <c r="G264" s="2" t="n">
        <v>26</v>
      </c>
      <c r="H264" s="3" t="n">
        <v>1072</v>
      </c>
      <c r="I264" s="3" t="n">
        <v>24388</v>
      </c>
      <c r="J264" s="3" t="n">
        <v>27872</v>
      </c>
      <c r="K264" s="3" t="n">
        <v>-3484</v>
      </c>
    </row>
    <row r="265" customFormat="false" ht="15" hidden="false" customHeight="false" outlineLevel="0" collapsed="false">
      <c r="A265" s="2" t="n">
        <v>1019</v>
      </c>
      <c r="B265" s="2" t="s">
        <v>158</v>
      </c>
      <c r="C265" s="2" t="s">
        <v>20</v>
      </c>
      <c r="D265" s="2" t="s">
        <v>24</v>
      </c>
      <c r="E265" s="3" t="n">
        <v>1550</v>
      </c>
      <c r="F265" s="4" t="n">
        <v>0.3</v>
      </c>
      <c r="G265" s="2" t="n">
        <v>23</v>
      </c>
      <c r="H265" s="3" t="n">
        <v>775</v>
      </c>
      <c r="I265" s="3" t="n">
        <v>24955</v>
      </c>
      <c r="J265" s="3" t="n">
        <v>17825</v>
      </c>
      <c r="K265" s="3" t="n">
        <v>7130</v>
      </c>
    </row>
    <row r="266" customFormat="false" ht="15" hidden="false" customHeight="false" outlineLevel="0" collapsed="false">
      <c r="A266" s="2" t="n">
        <v>1049</v>
      </c>
      <c r="B266" s="2" t="s">
        <v>159</v>
      </c>
      <c r="C266" s="2" t="s">
        <v>15</v>
      </c>
      <c r="D266" s="2" t="s">
        <v>16</v>
      </c>
      <c r="E266" s="3" t="n">
        <v>1820</v>
      </c>
      <c r="F266" s="4" t="n">
        <v>0.1</v>
      </c>
      <c r="G266" s="2" t="n">
        <v>13</v>
      </c>
      <c r="H266" s="3" t="n">
        <v>1128.4</v>
      </c>
      <c r="I266" s="3" t="n">
        <v>21294</v>
      </c>
      <c r="J266" s="3" t="n">
        <v>14669.2</v>
      </c>
      <c r="K266" s="3" t="n">
        <v>6624.8</v>
      </c>
    </row>
    <row r="267" customFormat="false" ht="15" hidden="false" customHeight="false" outlineLevel="0" collapsed="false">
      <c r="A267" s="2" t="n">
        <v>1172</v>
      </c>
      <c r="B267" s="2" t="s">
        <v>159</v>
      </c>
      <c r="C267" s="2" t="s">
        <v>12</v>
      </c>
      <c r="D267" s="2" t="s">
        <v>27</v>
      </c>
      <c r="E267" s="3" t="n">
        <v>2180</v>
      </c>
      <c r="F267" s="4" t="n">
        <v>0.2</v>
      </c>
      <c r="G267" s="2" t="n">
        <v>14</v>
      </c>
      <c r="H267" s="3" t="n">
        <v>1744</v>
      </c>
      <c r="I267" s="3" t="n">
        <v>24416</v>
      </c>
      <c r="J267" s="3" t="n">
        <v>24416</v>
      </c>
      <c r="K267" s="3" t="n">
        <v>0</v>
      </c>
    </row>
    <row r="268" customFormat="false" ht="15" hidden="false" customHeight="false" outlineLevel="0" collapsed="false">
      <c r="A268" s="2" t="n">
        <v>1119</v>
      </c>
      <c r="B268" s="2" t="s">
        <v>159</v>
      </c>
      <c r="C268" s="2" t="s">
        <v>20</v>
      </c>
      <c r="D268" s="2" t="s">
        <v>24</v>
      </c>
      <c r="E268" s="3" t="n">
        <v>2010</v>
      </c>
      <c r="F268" s="4" t="n">
        <v>0.2</v>
      </c>
      <c r="G268" s="2" t="n">
        <v>26</v>
      </c>
      <c r="H268" s="3" t="n">
        <v>1005</v>
      </c>
      <c r="I268" s="3" t="n">
        <v>41808</v>
      </c>
      <c r="J268" s="3" t="n">
        <v>26130</v>
      </c>
      <c r="K268" s="3" t="n">
        <v>15678</v>
      </c>
    </row>
    <row r="269" customFormat="false" ht="15" hidden="false" customHeight="false" outlineLevel="0" collapsed="false">
      <c r="A269" s="2" t="n">
        <v>1283</v>
      </c>
      <c r="B269" s="2" t="s">
        <v>160</v>
      </c>
      <c r="C269" s="2" t="s">
        <v>20</v>
      </c>
      <c r="D269" s="2" t="s">
        <v>24</v>
      </c>
      <c r="E269" s="3" t="n">
        <v>1550</v>
      </c>
      <c r="F269" s="4" t="n">
        <v>0</v>
      </c>
      <c r="G269" s="2" t="n">
        <v>22</v>
      </c>
      <c r="H269" s="3" t="n">
        <v>775</v>
      </c>
      <c r="I269" s="3" t="n">
        <v>34100</v>
      </c>
      <c r="J269" s="3" t="n">
        <v>17050</v>
      </c>
      <c r="K269" s="3" t="n">
        <v>17050</v>
      </c>
    </row>
    <row r="270" customFormat="false" ht="15" hidden="false" customHeight="false" outlineLevel="0" collapsed="false">
      <c r="A270" s="2" t="n">
        <v>1268</v>
      </c>
      <c r="B270" s="2" t="s">
        <v>161</v>
      </c>
      <c r="C270" s="2" t="s">
        <v>12</v>
      </c>
      <c r="D270" s="2" t="s">
        <v>29</v>
      </c>
      <c r="E270" s="3" t="n">
        <v>4340</v>
      </c>
      <c r="F270" s="4" t="n">
        <v>0.1</v>
      </c>
      <c r="G270" s="2" t="n">
        <v>20</v>
      </c>
      <c r="H270" s="3" t="n">
        <v>3472</v>
      </c>
      <c r="I270" s="3" t="n">
        <v>78120</v>
      </c>
      <c r="J270" s="3" t="n">
        <v>69440</v>
      </c>
      <c r="K270" s="3" t="n">
        <v>8680</v>
      </c>
    </row>
    <row r="271" customFormat="false" ht="15" hidden="false" customHeight="false" outlineLevel="0" collapsed="false">
      <c r="A271" s="2" t="n">
        <v>1089</v>
      </c>
      <c r="B271" s="2" t="s">
        <v>162</v>
      </c>
      <c r="C271" s="2" t="s">
        <v>15</v>
      </c>
      <c r="D271" s="2" t="s">
        <v>16</v>
      </c>
      <c r="E271" s="3" t="n">
        <v>1380</v>
      </c>
      <c r="F271" s="4" t="n">
        <v>0.1</v>
      </c>
      <c r="G271" s="2" t="n">
        <v>19</v>
      </c>
      <c r="H271" s="3" t="n">
        <v>855.6</v>
      </c>
      <c r="I271" s="3" t="n">
        <v>23598</v>
      </c>
      <c r="J271" s="3" t="n">
        <v>16256.4</v>
      </c>
      <c r="K271" s="3" t="n">
        <v>7341.6</v>
      </c>
    </row>
    <row r="272" customFormat="false" ht="15" hidden="false" customHeight="false" outlineLevel="0" collapsed="false">
      <c r="A272" s="2" t="n">
        <v>1090</v>
      </c>
      <c r="B272" s="2" t="s">
        <v>163</v>
      </c>
      <c r="C272" s="2" t="s">
        <v>15</v>
      </c>
      <c r="D272" s="2" t="s">
        <v>35</v>
      </c>
      <c r="E272" s="3" t="n">
        <v>1780</v>
      </c>
      <c r="F272" s="4" t="n">
        <v>0</v>
      </c>
      <c r="G272" s="2" t="n">
        <v>21</v>
      </c>
      <c r="H272" s="3" t="n">
        <v>1103.6</v>
      </c>
      <c r="I272" s="3" t="n">
        <v>37380</v>
      </c>
      <c r="J272" s="3" t="n">
        <v>23175.6</v>
      </c>
      <c r="K272" s="3" t="n">
        <v>14204.4</v>
      </c>
    </row>
    <row r="273" customFormat="false" ht="15" hidden="false" customHeight="false" outlineLevel="0" collapsed="false">
      <c r="A273" s="2" t="n">
        <v>1257</v>
      </c>
      <c r="B273" s="2" t="s">
        <v>163</v>
      </c>
      <c r="C273" s="2" t="s">
        <v>15</v>
      </c>
      <c r="D273" s="2" t="s">
        <v>16</v>
      </c>
      <c r="E273" s="3" t="n">
        <v>2080</v>
      </c>
      <c r="F273" s="4" t="n">
        <v>0.1</v>
      </c>
      <c r="G273" s="2" t="n">
        <v>12</v>
      </c>
      <c r="H273" s="3" t="n">
        <v>1289.6</v>
      </c>
      <c r="I273" s="3" t="n">
        <v>22464</v>
      </c>
      <c r="J273" s="3" t="n">
        <v>15475.2</v>
      </c>
      <c r="K273" s="3" t="n">
        <v>6988.8</v>
      </c>
    </row>
    <row r="274" customFormat="false" ht="15" hidden="false" customHeight="false" outlineLevel="0" collapsed="false">
      <c r="A274" s="2" t="n">
        <v>1229</v>
      </c>
      <c r="B274" s="2" t="s">
        <v>164</v>
      </c>
      <c r="C274" s="2" t="s">
        <v>15</v>
      </c>
      <c r="D274" s="2" t="s">
        <v>16</v>
      </c>
      <c r="E274" s="3" t="n">
        <v>760</v>
      </c>
      <c r="F274" s="4" t="n">
        <v>0</v>
      </c>
      <c r="G274" s="2" t="n">
        <v>9</v>
      </c>
      <c r="H274" s="3" t="n">
        <v>471.2</v>
      </c>
      <c r="I274" s="3" t="n">
        <v>6840</v>
      </c>
      <c r="J274" s="3" t="n">
        <v>4240.8</v>
      </c>
      <c r="K274" s="3" t="n">
        <v>2599.2</v>
      </c>
    </row>
    <row r="275" customFormat="false" ht="15" hidden="false" customHeight="false" outlineLevel="0" collapsed="false">
      <c r="A275" s="2" t="n">
        <v>1186</v>
      </c>
      <c r="B275" s="2" t="s">
        <v>164</v>
      </c>
      <c r="C275" s="2" t="s">
        <v>12</v>
      </c>
      <c r="D275" s="2" t="s">
        <v>29</v>
      </c>
      <c r="E275" s="3" t="n">
        <v>4090</v>
      </c>
      <c r="F275" s="4" t="n">
        <v>0.1</v>
      </c>
      <c r="G275" s="2" t="n">
        <v>15</v>
      </c>
      <c r="H275" s="3" t="n">
        <v>3272</v>
      </c>
      <c r="I275" s="3" t="n">
        <v>55215</v>
      </c>
      <c r="J275" s="3" t="n">
        <v>49080</v>
      </c>
      <c r="K275" s="3" t="n">
        <v>6135</v>
      </c>
    </row>
    <row r="276" customFormat="false" ht="15" hidden="false" customHeight="false" outlineLevel="0" collapsed="false">
      <c r="A276" s="2" t="n">
        <v>1043</v>
      </c>
      <c r="B276" s="2" t="s">
        <v>164</v>
      </c>
      <c r="C276" s="2" t="s">
        <v>20</v>
      </c>
      <c r="D276" s="2" t="s">
        <v>24</v>
      </c>
      <c r="E276" s="3" t="n">
        <v>440</v>
      </c>
      <c r="F276" s="4" t="n">
        <v>0</v>
      </c>
      <c r="G276" s="2" t="n">
        <v>28</v>
      </c>
      <c r="H276" s="3" t="n">
        <v>220</v>
      </c>
      <c r="I276" s="3" t="n">
        <v>12320</v>
      </c>
      <c r="J276" s="3" t="n">
        <v>6160</v>
      </c>
      <c r="K276" s="3" t="n">
        <v>6160</v>
      </c>
    </row>
    <row r="277" customFormat="false" ht="15" hidden="false" customHeight="false" outlineLevel="0" collapsed="false">
      <c r="A277" s="2" t="n">
        <v>1299</v>
      </c>
      <c r="B277" s="2" t="s">
        <v>164</v>
      </c>
      <c r="C277" s="2" t="s">
        <v>20</v>
      </c>
      <c r="D277" s="2" t="s">
        <v>33</v>
      </c>
      <c r="E277" s="3" t="n">
        <v>610</v>
      </c>
      <c r="F277" s="4" t="n">
        <v>0.1</v>
      </c>
      <c r="G277" s="2" t="n">
        <v>26</v>
      </c>
      <c r="H277" s="3" t="n">
        <v>305</v>
      </c>
      <c r="I277" s="3" t="n">
        <v>14274</v>
      </c>
      <c r="J277" s="3" t="n">
        <v>7930</v>
      </c>
      <c r="K277" s="3" t="n">
        <v>6344</v>
      </c>
    </row>
    <row r="278" customFormat="false" ht="15" hidden="false" customHeight="false" outlineLevel="0" collapsed="false">
      <c r="A278" s="2" t="n">
        <v>1080</v>
      </c>
      <c r="B278" s="2" t="s">
        <v>165</v>
      </c>
      <c r="C278" s="2" t="s">
        <v>20</v>
      </c>
      <c r="D278" s="2" t="s">
        <v>21</v>
      </c>
      <c r="E278" s="3" t="n">
        <v>2170</v>
      </c>
      <c r="F278" s="4" t="n">
        <v>0.3</v>
      </c>
      <c r="G278" s="2" t="n">
        <v>20</v>
      </c>
      <c r="H278" s="3" t="n">
        <v>1085</v>
      </c>
      <c r="I278" s="3" t="n">
        <v>30380</v>
      </c>
      <c r="J278" s="3" t="n">
        <v>21700</v>
      </c>
      <c r="K278" s="3" t="n">
        <v>8680</v>
      </c>
    </row>
    <row r="279" customFormat="false" ht="15" hidden="false" customHeight="false" outlineLevel="0" collapsed="false">
      <c r="A279" s="2" t="n">
        <v>1262</v>
      </c>
      <c r="B279" s="2" t="s">
        <v>165</v>
      </c>
      <c r="C279" s="2" t="s">
        <v>12</v>
      </c>
      <c r="D279" s="2" t="s">
        <v>13</v>
      </c>
      <c r="E279" s="3" t="n">
        <v>2540</v>
      </c>
      <c r="F279" s="4" t="n">
        <v>0.4</v>
      </c>
      <c r="G279" s="2" t="n">
        <v>27</v>
      </c>
      <c r="H279" s="3" t="n">
        <v>2032</v>
      </c>
      <c r="I279" s="3" t="n">
        <v>41148</v>
      </c>
      <c r="J279" s="3" t="n">
        <v>54864</v>
      </c>
      <c r="K279" s="3" t="n">
        <v>-13716</v>
      </c>
    </row>
    <row r="280" customFormat="false" ht="15" hidden="false" customHeight="false" outlineLevel="0" collapsed="false">
      <c r="A280" s="2" t="n">
        <v>1197</v>
      </c>
      <c r="B280" s="2" t="s">
        <v>166</v>
      </c>
      <c r="C280" s="2" t="s">
        <v>12</v>
      </c>
      <c r="D280" s="2" t="s">
        <v>13</v>
      </c>
      <c r="E280" s="3" t="n">
        <v>2060</v>
      </c>
      <c r="F280" s="4" t="n">
        <v>0.2</v>
      </c>
      <c r="G280" s="2" t="n">
        <v>35</v>
      </c>
      <c r="H280" s="3" t="n">
        <v>1648</v>
      </c>
      <c r="I280" s="3" t="n">
        <v>57680</v>
      </c>
      <c r="J280" s="3" t="n">
        <v>57680</v>
      </c>
      <c r="K280" s="3" t="n">
        <v>0</v>
      </c>
    </row>
    <row r="281" customFormat="false" ht="15" hidden="false" customHeight="false" outlineLevel="0" collapsed="false">
      <c r="A281" s="2" t="n">
        <v>1228</v>
      </c>
      <c r="B281" s="2" t="s">
        <v>166</v>
      </c>
      <c r="C281" s="2" t="s">
        <v>20</v>
      </c>
      <c r="D281" s="2" t="s">
        <v>24</v>
      </c>
      <c r="E281" s="3" t="n">
        <v>1270</v>
      </c>
      <c r="F281" s="4" t="n">
        <v>0.3</v>
      </c>
      <c r="G281" s="2" t="n">
        <v>15</v>
      </c>
      <c r="H281" s="3" t="n">
        <v>635</v>
      </c>
      <c r="I281" s="3" t="n">
        <v>13335</v>
      </c>
      <c r="J281" s="3" t="n">
        <v>9525</v>
      </c>
      <c r="K281" s="3" t="n">
        <v>3810</v>
      </c>
    </row>
    <row r="282" customFormat="false" ht="15" hidden="false" customHeight="false" outlineLevel="0" collapsed="false">
      <c r="A282" s="2" t="n">
        <v>1045</v>
      </c>
      <c r="B282" s="2" t="s">
        <v>166</v>
      </c>
      <c r="C282" s="2" t="s">
        <v>12</v>
      </c>
      <c r="D282" s="2" t="s">
        <v>29</v>
      </c>
      <c r="E282" s="3" t="n">
        <v>4390</v>
      </c>
      <c r="F282" s="4" t="n">
        <v>0.2</v>
      </c>
      <c r="G282" s="2" t="n">
        <v>12</v>
      </c>
      <c r="H282" s="3" t="n">
        <v>3512</v>
      </c>
      <c r="I282" s="3" t="n">
        <v>42144</v>
      </c>
      <c r="J282" s="3" t="n">
        <v>42144</v>
      </c>
      <c r="K282" s="3" t="n">
        <v>0</v>
      </c>
    </row>
    <row r="283" customFormat="false" ht="15" hidden="false" customHeight="false" outlineLevel="0" collapsed="false">
      <c r="A283" s="2" t="n">
        <v>1227</v>
      </c>
      <c r="B283" s="2" t="s">
        <v>166</v>
      </c>
      <c r="C283" s="2" t="s">
        <v>15</v>
      </c>
      <c r="D283" s="2" t="s">
        <v>35</v>
      </c>
      <c r="E283" s="3" t="n">
        <v>830</v>
      </c>
      <c r="F283" s="4" t="n">
        <v>0</v>
      </c>
      <c r="G283" s="2" t="n">
        <v>22</v>
      </c>
      <c r="H283" s="3" t="n">
        <v>514.6</v>
      </c>
      <c r="I283" s="3" t="n">
        <v>18260</v>
      </c>
      <c r="J283" s="3" t="n">
        <v>11321.2</v>
      </c>
      <c r="K283" s="3" t="n">
        <v>6938.8</v>
      </c>
    </row>
    <row r="284" customFormat="false" ht="15" hidden="false" customHeight="false" outlineLevel="0" collapsed="false">
      <c r="A284" s="2" t="n">
        <v>1083</v>
      </c>
      <c r="B284" s="2" t="s">
        <v>167</v>
      </c>
      <c r="C284" s="2" t="s">
        <v>20</v>
      </c>
      <c r="D284" s="2" t="s">
        <v>33</v>
      </c>
      <c r="E284" s="3" t="n">
        <v>1630</v>
      </c>
      <c r="F284" s="4" t="n">
        <v>0.3</v>
      </c>
      <c r="G284" s="2" t="n">
        <v>39</v>
      </c>
      <c r="H284" s="3" t="n">
        <v>815</v>
      </c>
      <c r="I284" s="3" t="n">
        <v>44499</v>
      </c>
      <c r="J284" s="3" t="n">
        <v>31785</v>
      </c>
      <c r="K284" s="3" t="n">
        <v>12714</v>
      </c>
    </row>
    <row r="285" customFormat="false" ht="15" hidden="false" customHeight="false" outlineLevel="0" collapsed="false">
      <c r="A285" s="2" t="n">
        <v>1149</v>
      </c>
      <c r="B285" s="2" t="s">
        <v>167</v>
      </c>
      <c r="C285" s="2" t="s">
        <v>15</v>
      </c>
      <c r="D285" s="2" t="s">
        <v>16</v>
      </c>
      <c r="E285" s="3" t="n">
        <v>1870</v>
      </c>
      <c r="F285" s="4" t="n">
        <v>0.3</v>
      </c>
      <c r="G285" s="2" t="n">
        <v>21</v>
      </c>
      <c r="H285" s="3" t="n">
        <v>1159.4</v>
      </c>
      <c r="I285" s="3" t="n">
        <v>27489</v>
      </c>
      <c r="J285" s="3" t="n">
        <v>24347.4</v>
      </c>
      <c r="K285" s="3" t="n">
        <v>3141.6</v>
      </c>
    </row>
    <row r="286" customFormat="false" ht="15" hidden="false" customHeight="false" outlineLevel="0" collapsed="false">
      <c r="A286" s="2" t="n">
        <v>1282</v>
      </c>
      <c r="B286" s="2" t="s">
        <v>168</v>
      </c>
      <c r="C286" s="2" t="s">
        <v>15</v>
      </c>
      <c r="D286" s="2" t="s">
        <v>22</v>
      </c>
      <c r="E286" s="3" t="n">
        <v>1080</v>
      </c>
      <c r="F286" s="4" t="n">
        <v>0</v>
      </c>
      <c r="G286" s="2" t="n">
        <v>22</v>
      </c>
      <c r="H286" s="3" t="n">
        <v>669.6</v>
      </c>
      <c r="I286" s="3" t="n">
        <v>23760</v>
      </c>
      <c r="J286" s="3" t="n">
        <v>14731.2</v>
      </c>
      <c r="K286" s="3" t="n">
        <v>9028.8</v>
      </c>
    </row>
    <row r="287" customFormat="false" ht="15" hidden="false" customHeight="false" outlineLevel="0" collapsed="false">
      <c r="A287" s="2" t="n">
        <v>1068</v>
      </c>
      <c r="B287" s="2" t="s">
        <v>169</v>
      </c>
      <c r="C287" s="2" t="s">
        <v>12</v>
      </c>
      <c r="D287" s="2" t="s">
        <v>29</v>
      </c>
      <c r="E287" s="3" t="n">
        <v>3280</v>
      </c>
      <c r="F287" s="4" t="n">
        <v>0.4</v>
      </c>
      <c r="G287" s="2" t="n">
        <v>21</v>
      </c>
      <c r="H287" s="3" t="n">
        <v>2624</v>
      </c>
      <c r="I287" s="3" t="n">
        <v>41328</v>
      </c>
      <c r="J287" s="3" t="n">
        <v>55104</v>
      </c>
      <c r="K287" s="3" t="n">
        <v>-13776</v>
      </c>
    </row>
    <row r="288" customFormat="false" ht="15" hidden="false" customHeight="false" outlineLevel="0" collapsed="false">
      <c r="A288" s="2" t="n">
        <v>1085</v>
      </c>
      <c r="B288" s="2" t="s">
        <v>169</v>
      </c>
      <c r="C288" s="2" t="s">
        <v>20</v>
      </c>
      <c r="D288" s="2" t="s">
        <v>33</v>
      </c>
      <c r="E288" s="3" t="n">
        <v>480</v>
      </c>
      <c r="F288" s="4" t="n">
        <v>0.4</v>
      </c>
      <c r="G288" s="2" t="n">
        <v>40</v>
      </c>
      <c r="H288" s="3" t="n">
        <v>240</v>
      </c>
      <c r="I288" s="3" t="n">
        <v>11520</v>
      </c>
      <c r="J288" s="3" t="n">
        <v>9600</v>
      </c>
      <c r="K288" s="3" t="n">
        <v>1920</v>
      </c>
    </row>
    <row r="289" customFormat="false" ht="15" hidden="false" customHeight="false" outlineLevel="0" collapsed="false">
      <c r="A289" s="2" t="n">
        <v>1036</v>
      </c>
      <c r="B289" s="2" t="s">
        <v>169</v>
      </c>
      <c r="C289" s="2" t="s">
        <v>20</v>
      </c>
      <c r="D289" s="2" t="s">
        <v>24</v>
      </c>
      <c r="E289" s="3" t="n">
        <v>2000</v>
      </c>
      <c r="F289" s="4" t="n">
        <v>0</v>
      </c>
      <c r="G289" s="2" t="n">
        <v>20</v>
      </c>
      <c r="H289" s="3" t="n">
        <v>1000</v>
      </c>
      <c r="I289" s="3" t="n">
        <v>40000</v>
      </c>
      <c r="J289" s="3" t="n">
        <v>20000</v>
      </c>
      <c r="K289" s="3" t="n">
        <v>20000</v>
      </c>
    </row>
    <row r="290" customFormat="false" ht="15" hidden="false" customHeight="false" outlineLevel="0" collapsed="false">
      <c r="A290" s="2" t="n">
        <v>1088</v>
      </c>
      <c r="B290" s="2" t="s">
        <v>169</v>
      </c>
      <c r="C290" s="2" t="s">
        <v>15</v>
      </c>
      <c r="D290" s="2" t="s">
        <v>16</v>
      </c>
      <c r="E290" s="3" t="n">
        <v>730</v>
      </c>
      <c r="F290" s="4" t="n">
        <v>0.3</v>
      </c>
      <c r="G290" s="2" t="n">
        <v>25</v>
      </c>
      <c r="H290" s="3" t="n">
        <v>452.6</v>
      </c>
      <c r="I290" s="3" t="n">
        <v>12775</v>
      </c>
      <c r="J290" s="3" t="n">
        <v>11315</v>
      </c>
      <c r="K290" s="3" t="n">
        <v>1460</v>
      </c>
    </row>
    <row r="291" customFormat="false" ht="15" hidden="false" customHeight="false" outlineLevel="0" collapsed="false">
      <c r="A291" s="2" t="n">
        <v>1242</v>
      </c>
      <c r="B291" s="2" t="s">
        <v>169</v>
      </c>
      <c r="C291" s="2" t="s">
        <v>15</v>
      </c>
      <c r="D291" s="2" t="s">
        <v>22</v>
      </c>
      <c r="E291" s="3" t="n">
        <v>1470</v>
      </c>
      <c r="F291" s="4" t="n">
        <v>0.3</v>
      </c>
      <c r="G291" s="2" t="n">
        <v>17</v>
      </c>
      <c r="H291" s="3" t="n">
        <v>911.4</v>
      </c>
      <c r="I291" s="3" t="n">
        <v>17493</v>
      </c>
      <c r="J291" s="3" t="n">
        <v>15493.8</v>
      </c>
      <c r="K291" s="3" t="n">
        <v>1999.2</v>
      </c>
    </row>
    <row r="292" customFormat="false" ht="15" hidden="false" customHeight="false" outlineLevel="0" collapsed="false">
      <c r="A292" s="2" t="n">
        <v>1286</v>
      </c>
      <c r="B292" s="2" t="s">
        <v>169</v>
      </c>
      <c r="C292" s="2" t="s">
        <v>15</v>
      </c>
      <c r="D292" s="2" t="s">
        <v>16</v>
      </c>
      <c r="E292" s="3" t="n">
        <v>1200</v>
      </c>
      <c r="F292" s="4" t="n">
        <v>0.3</v>
      </c>
      <c r="G292" s="2" t="n">
        <v>29</v>
      </c>
      <c r="H292" s="3" t="n">
        <v>744</v>
      </c>
      <c r="I292" s="3" t="n">
        <v>24360</v>
      </c>
      <c r="J292" s="3" t="n">
        <v>21576</v>
      </c>
      <c r="K292" s="3" t="n">
        <v>2784</v>
      </c>
    </row>
    <row r="293" customFormat="false" ht="15" hidden="false" customHeight="false" outlineLevel="0" collapsed="false">
      <c r="A293" s="2" t="n">
        <v>1171</v>
      </c>
      <c r="B293" s="2" t="s">
        <v>169</v>
      </c>
      <c r="C293" s="2" t="s">
        <v>20</v>
      </c>
      <c r="D293" s="2" t="s">
        <v>33</v>
      </c>
      <c r="E293" s="3" t="n">
        <v>550</v>
      </c>
      <c r="F293" s="4" t="n">
        <v>0.3</v>
      </c>
      <c r="G293" s="2" t="n">
        <v>31</v>
      </c>
      <c r="H293" s="3" t="n">
        <v>275</v>
      </c>
      <c r="I293" s="3" t="n">
        <v>11935</v>
      </c>
      <c r="J293" s="3" t="n">
        <v>8525</v>
      </c>
      <c r="K293" s="3" t="n">
        <v>3410</v>
      </c>
    </row>
    <row r="294" customFormat="false" ht="15" hidden="false" customHeight="false" outlineLevel="0" collapsed="false">
      <c r="A294" s="2" t="n">
        <v>1250</v>
      </c>
      <c r="B294" s="2" t="s">
        <v>170</v>
      </c>
      <c r="C294" s="2" t="s">
        <v>20</v>
      </c>
      <c r="D294" s="2" t="s">
        <v>24</v>
      </c>
      <c r="E294" s="3" t="n">
        <v>1670</v>
      </c>
      <c r="F294" s="4" t="n">
        <v>0.3</v>
      </c>
      <c r="G294" s="2" t="n">
        <v>36</v>
      </c>
      <c r="H294" s="3" t="n">
        <v>835</v>
      </c>
      <c r="I294" s="3" t="n">
        <v>42084</v>
      </c>
      <c r="J294" s="3" t="n">
        <v>30060</v>
      </c>
      <c r="K294" s="3" t="n">
        <v>12024</v>
      </c>
    </row>
    <row r="295" customFormat="false" ht="15" hidden="false" customHeight="false" outlineLevel="0" collapsed="false">
      <c r="A295" s="2" t="n">
        <v>1078</v>
      </c>
      <c r="B295" s="2" t="s">
        <v>170</v>
      </c>
      <c r="C295" s="2" t="s">
        <v>15</v>
      </c>
      <c r="D295" s="2" t="s">
        <v>22</v>
      </c>
      <c r="E295" s="3" t="n">
        <v>2410</v>
      </c>
      <c r="F295" s="4" t="n">
        <v>0.1</v>
      </c>
      <c r="G295" s="2" t="n">
        <v>11</v>
      </c>
      <c r="H295" s="3" t="n">
        <v>1494.2</v>
      </c>
      <c r="I295" s="3" t="n">
        <v>23859</v>
      </c>
      <c r="J295" s="3" t="n">
        <v>16436.2</v>
      </c>
      <c r="K295" s="3" t="n">
        <v>7422.8</v>
      </c>
    </row>
    <row r="296" customFormat="false" ht="15" hidden="false" customHeight="false" outlineLevel="0" collapsed="false">
      <c r="A296" s="2" t="n">
        <v>1225</v>
      </c>
      <c r="B296" s="2" t="s">
        <v>171</v>
      </c>
      <c r="C296" s="2" t="s">
        <v>12</v>
      </c>
      <c r="D296" s="2" t="s">
        <v>13</v>
      </c>
      <c r="E296" s="3" t="n">
        <v>1240</v>
      </c>
      <c r="F296" s="4" t="n">
        <v>0.1</v>
      </c>
      <c r="G296" s="2" t="n">
        <v>32</v>
      </c>
      <c r="H296" s="3" t="n">
        <v>992</v>
      </c>
      <c r="I296" s="3" t="n">
        <v>35712</v>
      </c>
      <c r="J296" s="3" t="n">
        <v>31744</v>
      </c>
      <c r="K296" s="3" t="n">
        <v>3968</v>
      </c>
    </row>
    <row r="297" customFormat="false" ht="15" hidden="false" customHeight="false" outlineLevel="0" collapsed="false">
      <c r="A297" s="2" t="n">
        <v>1167</v>
      </c>
      <c r="B297" s="2" t="s">
        <v>171</v>
      </c>
      <c r="C297" s="2" t="s">
        <v>20</v>
      </c>
      <c r="D297" s="2" t="s">
        <v>31</v>
      </c>
      <c r="E297" s="3" t="n">
        <v>2050</v>
      </c>
      <c r="F297" s="4" t="n">
        <v>0.4</v>
      </c>
      <c r="G297" s="2" t="n">
        <v>34</v>
      </c>
      <c r="H297" s="3" t="n">
        <v>1025</v>
      </c>
      <c r="I297" s="3" t="n">
        <v>41820</v>
      </c>
      <c r="J297" s="3" t="n">
        <v>34850</v>
      </c>
      <c r="K297" s="3" t="n">
        <v>6970</v>
      </c>
    </row>
    <row r="298" customFormat="false" ht="15" hidden="false" customHeight="false" outlineLevel="0" collapsed="false">
      <c r="A298" s="2" t="n">
        <v>1247</v>
      </c>
      <c r="B298" s="2" t="s">
        <v>172</v>
      </c>
      <c r="C298" s="2" t="s">
        <v>20</v>
      </c>
      <c r="D298" s="2" t="s">
        <v>33</v>
      </c>
      <c r="E298" s="3" t="n">
        <v>2140</v>
      </c>
      <c r="F298" s="4" t="n">
        <v>0.1</v>
      </c>
      <c r="G298" s="2" t="n">
        <v>14</v>
      </c>
      <c r="H298" s="3" t="n">
        <v>1070</v>
      </c>
      <c r="I298" s="3" t="n">
        <v>26964</v>
      </c>
      <c r="J298" s="3" t="n">
        <v>14980</v>
      </c>
      <c r="K298" s="3" t="n">
        <v>11984</v>
      </c>
    </row>
    <row r="299" customFormat="false" ht="15" hidden="false" customHeight="false" outlineLevel="0" collapsed="false">
      <c r="A299" s="2" t="n">
        <v>1054</v>
      </c>
      <c r="B299" s="2" t="s">
        <v>172</v>
      </c>
      <c r="C299" s="2" t="s">
        <v>12</v>
      </c>
      <c r="D299" s="2" t="s">
        <v>27</v>
      </c>
      <c r="E299" s="3" t="n">
        <v>1480</v>
      </c>
      <c r="F299" s="4" t="n">
        <v>0.4</v>
      </c>
      <c r="G299" s="2" t="n">
        <v>45</v>
      </c>
      <c r="H299" s="3" t="n">
        <v>1184</v>
      </c>
      <c r="I299" s="3" t="n">
        <v>39960</v>
      </c>
      <c r="J299" s="3" t="n">
        <v>53280</v>
      </c>
      <c r="K299" s="3" t="n">
        <v>-13320</v>
      </c>
    </row>
    <row r="300" customFormat="false" ht="15" hidden="false" customHeight="false" outlineLevel="0" collapsed="false">
      <c r="A300" s="2" t="n">
        <v>1038</v>
      </c>
      <c r="B300" s="2" t="s">
        <v>173</v>
      </c>
      <c r="C300" s="2" t="s">
        <v>12</v>
      </c>
      <c r="D300" s="2" t="s">
        <v>13</v>
      </c>
      <c r="E300" s="3" t="n">
        <v>2140</v>
      </c>
      <c r="F300" s="4" t="n">
        <v>0.1</v>
      </c>
      <c r="G300" s="2" t="n">
        <v>13</v>
      </c>
      <c r="H300" s="3" t="n">
        <v>1712</v>
      </c>
      <c r="I300" s="3" t="n">
        <v>25038</v>
      </c>
      <c r="J300" s="3" t="n">
        <v>22256</v>
      </c>
      <c r="K300" s="3" t="n">
        <v>2782</v>
      </c>
    </row>
    <row r="301" customFormat="false" ht="15" hidden="false" customHeight="false" outlineLevel="0" collapsed="false">
      <c r="A301" s="2" t="n">
        <v>1116</v>
      </c>
      <c r="B301" s="2" t="s">
        <v>173</v>
      </c>
      <c r="C301" s="2" t="s">
        <v>15</v>
      </c>
      <c r="D301" s="2" t="s">
        <v>17</v>
      </c>
      <c r="E301" s="3" t="n">
        <v>1830</v>
      </c>
      <c r="F301" s="4" t="n">
        <v>0</v>
      </c>
      <c r="G301" s="2" t="n">
        <v>17</v>
      </c>
      <c r="H301" s="3" t="n">
        <v>1134.6</v>
      </c>
      <c r="I301" s="3" t="n">
        <v>31110</v>
      </c>
      <c r="J301" s="3" t="n">
        <v>19288.2</v>
      </c>
      <c r="K301" s="3" t="n">
        <v>11821.8</v>
      </c>
    </row>
    <row r="302" customFormat="false" ht="15" hidden="false" customHeight="false" outlineLevel="0" collapsed="false">
      <c r="A302" s="2" t="n">
        <v>1205</v>
      </c>
      <c r="B302" s="2" t="s">
        <v>174</v>
      </c>
      <c r="C302" s="2" t="s">
        <v>20</v>
      </c>
      <c r="D302" s="2" t="s">
        <v>21</v>
      </c>
      <c r="E302" s="3" t="n">
        <v>690</v>
      </c>
      <c r="F302" s="4" t="n">
        <v>0.4</v>
      </c>
      <c r="G302" s="2" t="n">
        <v>32</v>
      </c>
      <c r="H302" s="3" t="n">
        <v>345</v>
      </c>
      <c r="I302" s="3" t="n">
        <v>13248</v>
      </c>
      <c r="J302" s="3" t="n">
        <v>11040</v>
      </c>
      <c r="K302" s="3" t="n">
        <v>2208</v>
      </c>
    </row>
    <row r="303" customFormat="false" ht="15" hidden="false" customHeight="false" outlineLevel="0" collapsed="false">
      <c r="A303" s="2" t="n">
        <v>1106</v>
      </c>
      <c r="B303" s="2" t="s">
        <v>174</v>
      </c>
      <c r="C303" s="2" t="s">
        <v>12</v>
      </c>
      <c r="D303" s="2" t="s">
        <v>27</v>
      </c>
      <c r="E303" s="3" t="n">
        <v>4090</v>
      </c>
      <c r="F303" s="4" t="n">
        <v>0.2</v>
      </c>
      <c r="G303" s="2" t="n">
        <v>19</v>
      </c>
      <c r="H303" s="3" t="n">
        <v>3272</v>
      </c>
      <c r="I303" s="3" t="n">
        <v>62168</v>
      </c>
      <c r="J303" s="3" t="n">
        <v>62168</v>
      </c>
      <c r="K303" s="3" t="n">
        <v>0</v>
      </c>
    </row>
    <row r="304" customFormat="false" ht="15" hidden="false" customHeight="false" outlineLevel="0" collapsed="false">
      <c r="A304" s="2" t="n">
        <v>1255</v>
      </c>
      <c r="B304" s="2" t="s">
        <v>175</v>
      </c>
      <c r="C304" s="2" t="s">
        <v>15</v>
      </c>
      <c r="D304" s="2" t="s">
        <v>17</v>
      </c>
      <c r="E304" s="3" t="n">
        <v>1310</v>
      </c>
      <c r="F304" s="4" t="n">
        <v>0.4</v>
      </c>
      <c r="G304" s="2" t="n">
        <v>27</v>
      </c>
      <c r="H304" s="3" t="n">
        <v>812.2</v>
      </c>
      <c r="I304" s="3" t="n">
        <v>21222</v>
      </c>
      <c r="J304" s="3" t="n">
        <v>21929.4</v>
      </c>
      <c r="K304" s="3" t="n">
        <v>-707.4</v>
      </c>
    </row>
    <row r="305" customFormat="false" ht="15" hidden="false" customHeight="false" outlineLevel="0" collapsed="false">
      <c r="A305" s="2" t="n">
        <v>1258</v>
      </c>
      <c r="B305" s="2" t="s">
        <v>175</v>
      </c>
      <c r="C305" s="2" t="s">
        <v>15</v>
      </c>
      <c r="D305" s="2" t="s">
        <v>22</v>
      </c>
      <c r="E305" s="3" t="n">
        <v>2720</v>
      </c>
      <c r="F305" s="4" t="n">
        <v>0.1</v>
      </c>
      <c r="G305" s="2" t="n">
        <v>12</v>
      </c>
      <c r="H305" s="3" t="n">
        <v>1686.4</v>
      </c>
      <c r="I305" s="3" t="n">
        <v>29376</v>
      </c>
      <c r="J305" s="3" t="n">
        <v>20236.8</v>
      </c>
      <c r="K305" s="3" t="n">
        <v>9139.2</v>
      </c>
    </row>
    <row r="306" customFormat="false" ht="15" hidden="false" customHeight="false" outlineLevel="0" collapsed="false">
      <c r="A306" s="2" t="n">
        <v>1024</v>
      </c>
      <c r="B306" s="2" t="s">
        <v>176</v>
      </c>
      <c r="C306" s="2" t="s">
        <v>15</v>
      </c>
      <c r="D306" s="2" t="s">
        <v>16</v>
      </c>
      <c r="E306" s="3" t="n">
        <v>1770</v>
      </c>
      <c r="F306" s="4" t="n">
        <v>0.4</v>
      </c>
      <c r="G306" s="2" t="n">
        <v>14</v>
      </c>
      <c r="H306" s="3" t="n">
        <v>1097.4</v>
      </c>
      <c r="I306" s="3" t="n">
        <v>14868</v>
      </c>
      <c r="J306" s="3" t="n">
        <v>15363.6</v>
      </c>
      <c r="K306" s="3" t="n">
        <v>-495.6</v>
      </c>
    </row>
    <row r="307" customFormat="false" ht="15" hidden="false" customHeight="false" outlineLevel="0" collapsed="false">
      <c r="A307" s="2" t="n">
        <v>1125</v>
      </c>
      <c r="B307" s="2" t="s">
        <v>176</v>
      </c>
      <c r="C307" s="2" t="s">
        <v>12</v>
      </c>
      <c r="D307" s="2" t="s">
        <v>29</v>
      </c>
      <c r="E307" s="3" t="n">
        <v>2310</v>
      </c>
      <c r="F307" s="4" t="n">
        <v>0.1</v>
      </c>
      <c r="G307" s="2" t="n">
        <v>14</v>
      </c>
      <c r="H307" s="3" t="n">
        <v>1848</v>
      </c>
      <c r="I307" s="3" t="n">
        <v>29106</v>
      </c>
      <c r="J307" s="3" t="n">
        <v>25872</v>
      </c>
      <c r="K307" s="3" t="n">
        <v>3234</v>
      </c>
    </row>
    <row r="308" customFormat="false" ht="15" hidden="false" customHeight="false" outlineLevel="0" collapsed="false">
      <c r="A308" s="2" t="n">
        <v>1007</v>
      </c>
      <c r="B308" s="2" t="s">
        <v>176</v>
      </c>
      <c r="C308" s="2" t="s">
        <v>15</v>
      </c>
      <c r="D308" s="2" t="s">
        <v>22</v>
      </c>
      <c r="E308" s="3" t="n">
        <v>1110</v>
      </c>
      <c r="F308" s="4" t="n">
        <v>0.3</v>
      </c>
      <c r="G308" s="2" t="n">
        <v>43</v>
      </c>
      <c r="H308" s="3" t="n">
        <v>688.2</v>
      </c>
      <c r="I308" s="3" t="n">
        <v>33411</v>
      </c>
      <c r="J308" s="3" t="n">
        <v>29592.6</v>
      </c>
      <c r="K308" s="3" t="n">
        <v>3818.4</v>
      </c>
    </row>
    <row r="309" customFormat="false" ht="15" hidden="false" customHeight="false" outlineLevel="0" collapsed="false">
      <c r="A309" s="2" t="n">
        <v>1138</v>
      </c>
      <c r="B309" s="2" t="s">
        <v>177</v>
      </c>
      <c r="C309" s="2" t="s">
        <v>20</v>
      </c>
      <c r="D309" s="2" t="s">
        <v>33</v>
      </c>
      <c r="E309" s="3" t="n">
        <v>1370</v>
      </c>
      <c r="F309" s="4" t="n">
        <v>0.4</v>
      </c>
      <c r="G309" s="2" t="n">
        <v>42</v>
      </c>
      <c r="H309" s="3" t="n">
        <v>685</v>
      </c>
      <c r="I309" s="3" t="n">
        <v>34524</v>
      </c>
      <c r="J309" s="3" t="n">
        <v>28770</v>
      </c>
      <c r="K309" s="3" t="n">
        <v>5754</v>
      </c>
    </row>
    <row r="310" customFormat="false" ht="15" hidden="false" customHeight="false" outlineLevel="0" collapsed="false">
      <c r="A310" s="2" t="n">
        <v>1230</v>
      </c>
      <c r="B310" s="2" t="s">
        <v>178</v>
      </c>
      <c r="C310" s="2" t="s">
        <v>12</v>
      </c>
      <c r="D310" s="2" t="s">
        <v>13</v>
      </c>
      <c r="E310" s="3" t="n">
        <v>1460</v>
      </c>
      <c r="F310" s="4" t="n">
        <v>0.1</v>
      </c>
      <c r="G310" s="2" t="n">
        <v>18</v>
      </c>
      <c r="H310" s="3" t="n">
        <v>1168</v>
      </c>
      <c r="I310" s="3" t="n">
        <v>23652</v>
      </c>
      <c r="J310" s="3" t="n">
        <v>21024</v>
      </c>
      <c r="K310" s="3" t="n">
        <v>2628</v>
      </c>
    </row>
    <row r="311" customFormat="false" ht="15" hidden="false" customHeight="false" outlineLevel="0" collapsed="false">
      <c r="A311" s="2" t="n">
        <v>1004</v>
      </c>
      <c r="B311" s="2" t="s">
        <v>179</v>
      </c>
      <c r="C311" s="2" t="s">
        <v>20</v>
      </c>
      <c r="D311" s="2" t="s">
        <v>31</v>
      </c>
      <c r="E311" s="3" t="n">
        <v>480</v>
      </c>
      <c r="F311" s="4" t="n">
        <v>0.3</v>
      </c>
      <c r="G311" s="2" t="n">
        <v>39</v>
      </c>
      <c r="H311" s="3" t="n">
        <v>240</v>
      </c>
      <c r="I311" s="3" t="n">
        <v>13104</v>
      </c>
      <c r="J311" s="3" t="n">
        <v>9360</v>
      </c>
      <c r="K311" s="3" t="n">
        <v>3744</v>
      </c>
    </row>
    <row r="312" customFormat="false" ht="15" hidden="false" customHeight="false" outlineLevel="0" collapsed="false">
      <c r="A312" s="2" t="n">
        <v>1060</v>
      </c>
      <c r="B312" s="2" t="s">
        <v>180</v>
      </c>
      <c r="C312" s="2" t="s">
        <v>12</v>
      </c>
      <c r="D312" s="2" t="s">
        <v>29</v>
      </c>
      <c r="E312" s="3" t="n">
        <v>4020</v>
      </c>
      <c r="F312" s="4" t="n">
        <v>0.3</v>
      </c>
      <c r="G312" s="2" t="n">
        <v>22</v>
      </c>
      <c r="H312" s="3" t="n">
        <v>3216</v>
      </c>
      <c r="I312" s="3" t="n">
        <v>61908</v>
      </c>
      <c r="J312" s="3" t="n">
        <v>70752</v>
      </c>
      <c r="K312" s="3" t="n">
        <v>-8844</v>
      </c>
    </row>
    <row r="313" customFormat="false" ht="15" hidden="false" customHeight="false" outlineLevel="0" collapsed="false">
      <c r="A313" s="2" t="n">
        <v>1189</v>
      </c>
      <c r="B313" s="2" t="s">
        <v>181</v>
      </c>
      <c r="C313" s="2" t="s">
        <v>15</v>
      </c>
      <c r="D313" s="2" t="s">
        <v>17</v>
      </c>
      <c r="E313" s="3" t="n">
        <v>1520</v>
      </c>
      <c r="F313" s="4" t="n">
        <v>0.3</v>
      </c>
      <c r="G313" s="2" t="n">
        <v>24</v>
      </c>
      <c r="H313" s="3" t="n">
        <v>942.4</v>
      </c>
      <c r="I313" s="3" t="n">
        <v>25536</v>
      </c>
      <c r="J313" s="3" t="n">
        <v>22617.6</v>
      </c>
      <c r="K313" s="3" t="n">
        <v>2918.4</v>
      </c>
    </row>
    <row r="314" customFormat="false" ht="15" hidden="false" customHeight="false" outlineLevel="0" collapsed="false">
      <c r="A314" s="2" t="n">
        <v>1127</v>
      </c>
      <c r="B314" s="2" t="s">
        <v>182</v>
      </c>
      <c r="C314" s="2" t="s">
        <v>12</v>
      </c>
      <c r="D314" s="2" t="s">
        <v>13</v>
      </c>
      <c r="E314" s="3" t="n">
        <v>3170</v>
      </c>
      <c r="F314" s="4" t="n">
        <v>0.2</v>
      </c>
      <c r="G314" s="2" t="n">
        <v>44</v>
      </c>
      <c r="H314" s="3" t="n">
        <v>2536</v>
      </c>
      <c r="I314" s="3" t="n">
        <v>111584</v>
      </c>
      <c r="J314" s="3" t="n">
        <v>111584</v>
      </c>
      <c r="K314" s="3" t="n">
        <v>0</v>
      </c>
    </row>
    <row r="315" customFormat="false" ht="15" hidden="false" customHeight="false" outlineLevel="0" collapsed="false">
      <c r="A315" s="2" t="n">
        <v>1032</v>
      </c>
      <c r="B315" s="2" t="s">
        <v>182</v>
      </c>
      <c r="C315" s="2" t="s">
        <v>20</v>
      </c>
      <c r="D315" s="2" t="s">
        <v>24</v>
      </c>
      <c r="E315" s="3" t="n">
        <v>2090</v>
      </c>
      <c r="F315" s="4" t="n">
        <v>0.1</v>
      </c>
      <c r="G315" s="2" t="n">
        <v>18</v>
      </c>
      <c r="H315" s="3" t="n">
        <v>1045</v>
      </c>
      <c r="I315" s="3" t="n">
        <v>33858</v>
      </c>
      <c r="J315" s="3" t="n">
        <v>18810</v>
      </c>
      <c r="K315" s="3" t="n">
        <v>15048</v>
      </c>
    </row>
    <row r="316" customFormat="false" ht="15" hidden="false" customHeight="false" outlineLevel="0" collapsed="false">
      <c r="A316" s="2" t="n">
        <v>1310</v>
      </c>
      <c r="B316" s="2" t="s">
        <v>182</v>
      </c>
      <c r="C316" s="2" t="s">
        <v>12</v>
      </c>
      <c r="D316" s="2" t="s">
        <v>13</v>
      </c>
      <c r="E316" s="3" t="n">
        <v>3230</v>
      </c>
      <c r="F316" s="4" t="n">
        <v>0.3</v>
      </c>
      <c r="G316" s="2" t="n">
        <v>21</v>
      </c>
      <c r="H316" s="3" t="n">
        <v>2584</v>
      </c>
      <c r="I316" s="3" t="n">
        <v>47481</v>
      </c>
      <c r="J316" s="3" t="n">
        <v>54264</v>
      </c>
      <c r="K316" s="3" t="n">
        <v>-6783</v>
      </c>
    </row>
    <row r="317" customFormat="false" ht="15" hidden="false" customHeight="false" outlineLevel="0" collapsed="false">
      <c r="A317" s="2" t="n">
        <v>1256</v>
      </c>
      <c r="B317" s="2" t="s">
        <v>182</v>
      </c>
      <c r="C317" s="2" t="s">
        <v>15</v>
      </c>
      <c r="D317" s="2" t="s">
        <v>35</v>
      </c>
      <c r="E317" s="3" t="n">
        <v>2070</v>
      </c>
      <c r="F317" s="4" t="n">
        <v>0.3</v>
      </c>
      <c r="G317" s="2" t="n">
        <v>33</v>
      </c>
      <c r="H317" s="3" t="n">
        <v>1283.4</v>
      </c>
      <c r="I317" s="3" t="n">
        <v>47817</v>
      </c>
      <c r="J317" s="3" t="n">
        <v>42352.2</v>
      </c>
      <c r="K317" s="3" t="n">
        <v>5464.8</v>
      </c>
    </row>
    <row r="318" customFormat="false" ht="15" hidden="false" customHeight="false" outlineLevel="0" collapsed="false">
      <c r="A318" s="2" t="n">
        <v>1148</v>
      </c>
      <c r="B318" s="2" t="s">
        <v>183</v>
      </c>
      <c r="C318" s="2" t="s">
        <v>15</v>
      </c>
      <c r="D318" s="2" t="s">
        <v>35</v>
      </c>
      <c r="E318" s="3" t="n">
        <v>2220</v>
      </c>
      <c r="F318" s="4" t="n">
        <v>0</v>
      </c>
      <c r="G318" s="2" t="n">
        <v>15</v>
      </c>
      <c r="H318" s="3" t="n">
        <v>1376.4</v>
      </c>
      <c r="I318" s="3" t="n">
        <v>33300</v>
      </c>
      <c r="J318" s="3" t="n">
        <v>20646</v>
      </c>
      <c r="K318" s="3" t="n">
        <v>12654</v>
      </c>
    </row>
    <row r="319" customFormat="false" ht="15" hidden="false" customHeight="false" outlineLevel="0" collapsed="false">
      <c r="A319" s="2" t="n">
        <v>1018</v>
      </c>
      <c r="B319" s="2" t="s">
        <v>183</v>
      </c>
      <c r="C319" s="2" t="s">
        <v>20</v>
      </c>
      <c r="D319" s="2" t="s">
        <v>21</v>
      </c>
      <c r="E319" s="3" t="n">
        <v>1340</v>
      </c>
      <c r="F319" s="4" t="n">
        <v>0.1</v>
      </c>
      <c r="G319" s="2" t="n">
        <v>23</v>
      </c>
      <c r="H319" s="3" t="n">
        <v>670</v>
      </c>
      <c r="I319" s="3" t="n">
        <v>27738</v>
      </c>
      <c r="J319" s="3" t="n">
        <v>15410</v>
      </c>
      <c r="K319" s="3" t="n">
        <v>12328</v>
      </c>
    </row>
    <row r="320" customFormat="false" ht="15" hidden="false" customHeight="false" outlineLevel="0" collapsed="false">
      <c r="A320" s="2" t="n">
        <v>1099</v>
      </c>
      <c r="B320" s="2" t="s">
        <v>183</v>
      </c>
      <c r="C320" s="2" t="s">
        <v>12</v>
      </c>
      <c r="D320" s="2" t="s">
        <v>38</v>
      </c>
      <c r="E320" s="3" t="n">
        <v>2780</v>
      </c>
      <c r="F320" s="4" t="n">
        <v>0.4</v>
      </c>
      <c r="G320" s="2" t="n">
        <v>43</v>
      </c>
      <c r="H320" s="3" t="n">
        <v>2224</v>
      </c>
      <c r="I320" s="3" t="n">
        <v>71724</v>
      </c>
      <c r="J320" s="3" t="n">
        <v>95632</v>
      </c>
      <c r="K320" s="3" t="n">
        <v>-23908</v>
      </c>
    </row>
    <row r="321" customFormat="false" ht="15" hidden="false" customHeight="false" outlineLevel="0" collapsed="false">
      <c r="A321" s="2" t="n">
        <v>1137</v>
      </c>
      <c r="B321" s="2" t="s">
        <v>184</v>
      </c>
      <c r="C321" s="2" t="s">
        <v>12</v>
      </c>
      <c r="D321" s="2" t="s">
        <v>27</v>
      </c>
      <c r="E321" s="3" t="n">
        <v>3690</v>
      </c>
      <c r="F321" s="4" t="n">
        <v>0.4</v>
      </c>
      <c r="G321" s="2" t="n">
        <v>47</v>
      </c>
      <c r="H321" s="3" t="n">
        <v>2952</v>
      </c>
      <c r="I321" s="3" t="n">
        <v>104058</v>
      </c>
      <c r="J321" s="3" t="n">
        <v>138744</v>
      </c>
      <c r="K321" s="3" t="n">
        <v>-34686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5" t="s">
        <v>185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186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187</v>
      </c>
    </row>
    <row r="5" customFormat="false" ht="15" hidden="false" customHeight="false" outlineLevel="0" collapsed="false">
      <c r="A5" s="8" t="s">
        <v>5</v>
      </c>
      <c r="B5" s="8" t="s">
        <v>188</v>
      </c>
      <c r="C5" s="8" t="s">
        <v>189</v>
      </c>
      <c r="D5" s="8" t="s">
        <v>190</v>
      </c>
      <c r="E5" s="8" t="s">
        <v>191</v>
      </c>
      <c r="F5" s="8" t="s">
        <v>6</v>
      </c>
    </row>
    <row r="6" customFormat="false" ht="15" hidden="false" customHeight="false" outlineLevel="0" collapsed="false">
      <c r="A6" s="4" t="n">
        <v>0</v>
      </c>
      <c r="B6" s="3" t="n">
        <f aca="false">SUMIFS('Raw Data'!I2:I321,'Raw Data'!F2:F321,A6)</f>
        <v>1751620</v>
      </c>
      <c r="C6" s="3" t="n">
        <f aca="false">SUMIFS('Raw Data'!J2:J321,'Raw Data'!F2:F321,A6)</f>
        <v>1196295.8</v>
      </c>
      <c r="D6" s="3" t="n">
        <f aca="false">B6-C6</f>
        <v>555324.2</v>
      </c>
      <c r="E6" s="9" t="n">
        <f aca="false">IFERROR(D6/B6,0)</f>
        <v>0.317034630798918</v>
      </c>
      <c r="F6" s="2" t="n">
        <f aca="false">SUMIFS('Raw Data'!G2:G321,'Raw Data'!F2:F321,A6)</f>
        <v>941</v>
      </c>
    </row>
    <row r="7" customFormat="false" ht="15" hidden="false" customHeight="false" outlineLevel="0" collapsed="false">
      <c r="A7" s="10" t="n">
        <v>0.1</v>
      </c>
      <c r="B7" s="11" t="n">
        <f aca="false">SUMIFS('Raw Data'!I2:I321,'Raw Data'!F2:F321,A7)</f>
        <v>2318463</v>
      </c>
      <c r="C7" s="11" t="n">
        <f aca="false">SUMIFS('Raw Data'!J2:J321,'Raw Data'!F2:F321,A7)</f>
        <v>1671253.2</v>
      </c>
      <c r="D7" s="11" t="n">
        <f aca="false">B7-C7</f>
        <v>647209.8</v>
      </c>
      <c r="E7" s="12" t="n">
        <f aca="false">IFERROR(D7/B7,0)</f>
        <v>0.279154681355709</v>
      </c>
      <c r="F7" s="13" t="n">
        <f aca="false">SUMIFS('Raw Data'!G2:G321,'Raw Data'!F2:F321,A7)</f>
        <v>1460</v>
      </c>
    </row>
    <row r="8" customFormat="false" ht="15" hidden="false" customHeight="false" outlineLevel="0" collapsed="false">
      <c r="A8" s="4" t="n">
        <v>0.2</v>
      </c>
      <c r="B8" s="3" t="n">
        <f aca="false">SUMIFS('Raw Data'!I2:I321,'Raw Data'!F2:F321,A8)</f>
        <v>2388832</v>
      </c>
      <c r="C8" s="3" t="n">
        <f aca="false">SUMIFS('Raw Data'!J2:J321,'Raw Data'!F2:F321,A8)</f>
        <v>2059474.6</v>
      </c>
      <c r="D8" s="3" t="n">
        <f aca="false">B8-C8</f>
        <v>329357.4</v>
      </c>
      <c r="E8" s="9" t="n">
        <f aca="false">IFERROR(D8/B8,0)</f>
        <v>0.137873822855688</v>
      </c>
      <c r="F8" s="2" t="n">
        <f aca="false">SUMIFS('Raw Data'!G2:G321,'Raw Data'!F2:F321,A8)</f>
        <v>1504</v>
      </c>
    </row>
    <row r="9" customFormat="false" ht="15" hidden="false" customHeight="false" outlineLevel="0" collapsed="false">
      <c r="A9" s="4" t="n">
        <v>0.3</v>
      </c>
      <c r="B9" s="3" t="n">
        <f aca="false">SUMIFS('Raw Data'!I2:I321,'Raw Data'!F2:F321,A9)</f>
        <v>2890825</v>
      </c>
      <c r="C9" s="3" t="n">
        <f aca="false">SUMIFS('Raw Data'!J2:J321,'Raw Data'!F2:F321,A9)</f>
        <v>2832520.4</v>
      </c>
      <c r="D9" s="3" t="n">
        <f aca="false">B9-C9</f>
        <v>58304.6000000001</v>
      </c>
      <c r="E9" s="9" t="n">
        <f aca="false">IFERROR(D9/B9,0)</f>
        <v>0.0201688445339998</v>
      </c>
      <c r="F9" s="2" t="n">
        <f aca="false">SUMIFS('Raw Data'!G2:G321,'Raw Data'!F2:F321,A9)</f>
        <v>1971</v>
      </c>
    </row>
    <row r="10" customFormat="false" ht="15" hidden="false" customHeight="false" outlineLevel="0" collapsed="false">
      <c r="A10" s="14" t="n">
        <v>0.4</v>
      </c>
      <c r="B10" s="15" t="n">
        <f aca="false">SUMIFS('Raw Data'!I2:I321,'Raw Data'!F2:F321,A10)</f>
        <v>2143188</v>
      </c>
      <c r="C10" s="15" t="n">
        <f aca="false">SUMIFS('Raw Data'!J2:J321,'Raw Data'!F2:F321,A10)</f>
        <v>2390565</v>
      </c>
      <c r="D10" s="15" t="n">
        <f aca="false">B10-C10</f>
        <v>-247377</v>
      </c>
      <c r="E10" s="16" t="n">
        <f aca="false">IFERROR(D10/B10,0)</f>
        <v>-0.115424778414213</v>
      </c>
      <c r="F10" s="17" t="n">
        <f aca="false">SUMIFS('Raw Data'!G2:G321,'Raw Data'!F2:F321,A10)</f>
        <v>1934</v>
      </c>
    </row>
    <row r="13" customFormat="false" ht="15" hidden="false" customHeight="false" outlineLevel="0" collapsed="false">
      <c r="A13" s="7" t="s">
        <v>192</v>
      </c>
    </row>
    <row r="14" customFormat="false" ht="15" hidden="false" customHeight="false" outlineLevel="0" collapsed="false">
      <c r="A14" s="8" t="s">
        <v>2</v>
      </c>
      <c r="B14" s="8" t="s">
        <v>188</v>
      </c>
      <c r="C14" s="8" t="s">
        <v>189</v>
      </c>
      <c r="D14" s="8" t="s">
        <v>190</v>
      </c>
      <c r="E14" s="8" t="s">
        <v>191</v>
      </c>
      <c r="F14" s="8" t="s">
        <v>6</v>
      </c>
    </row>
    <row r="15" customFormat="false" ht="15" hidden="false" customHeight="false" outlineLevel="0" collapsed="false">
      <c r="A15" s="2" t="s">
        <v>12</v>
      </c>
      <c r="B15" s="3" t="n">
        <f aca="false">SUMIFS('Raw Data'!I2:I321,'Raw Data'!C2:C321,A15)</f>
        <v>5426234</v>
      </c>
      <c r="C15" s="3" t="n">
        <f aca="false">SUMIFS('Raw Data'!J2:J321,'Raw Data'!C2:C321,A15)</f>
        <v>5705224</v>
      </c>
      <c r="D15" s="3" t="n">
        <f aca="false">B15-C15</f>
        <v>-278990</v>
      </c>
      <c r="E15" s="9" t="n">
        <f aca="false">IFERROR(D15/B15,0)</f>
        <v>-0.0514150329676162</v>
      </c>
      <c r="F15" s="2" t="n">
        <f aca="false">SUMIFS('Raw Data'!G2:G321,'Raw Data'!C2:C321,A15)</f>
        <v>2539</v>
      </c>
    </row>
    <row r="16" customFormat="false" ht="15" hidden="false" customHeight="false" outlineLevel="0" collapsed="false">
      <c r="A16" s="2" t="s">
        <v>15</v>
      </c>
      <c r="B16" s="3" t="n">
        <f aca="false">SUMIFS('Raw Data'!I2:I321,'Raw Data'!C2:C321,A16)</f>
        <v>3256437</v>
      </c>
      <c r="C16" s="3" t="n">
        <f aca="false">SUMIFS('Raw Data'!J2:J321,'Raw Data'!C2:C321,A16)</f>
        <v>2598420</v>
      </c>
      <c r="D16" s="3" t="n">
        <f aca="false">B16-C16</f>
        <v>658017</v>
      </c>
      <c r="E16" s="9" t="n">
        <f aca="false">IFERROR(D16/B16,0)</f>
        <v>0.202066553106969</v>
      </c>
      <c r="F16" s="2" t="n">
        <f aca="false">SUMIFS('Raw Data'!G2:G321,'Raw Data'!C2:C321,A16)</f>
        <v>2550</v>
      </c>
    </row>
    <row r="17" customFormat="false" ht="15" hidden="false" customHeight="false" outlineLevel="0" collapsed="false">
      <c r="A17" s="2" t="s">
        <v>20</v>
      </c>
      <c r="B17" s="3" t="n">
        <f aca="false">SUMIFS('Raw Data'!I2:I321,'Raw Data'!C2:C321,A17)</f>
        <v>2810257</v>
      </c>
      <c r="C17" s="3" t="n">
        <f aca="false">SUMIFS('Raw Data'!J2:J321,'Raw Data'!C2:C321,A17)</f>
        <v>1846465</v>
      </c>
      <c r="D17" s="3" t="n">
        <f aca="false">B17-C17</f>
        <v>963792</v>
      </c>
      <c r="E17" s="9" t="n">
        <f aca="false">IFERROR(D17/B17,0)</f>
        <v>0.342955110511245</v>
      </c>
      <c r="F17" s="2" t="n">
        <f aca="false">SUMIFS('Raw Data'!G2:G321,'Raw Data'!C2:C321,A17)</f>
        <v>2721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8" min="6" style="0" width="12"/>
  </cols>
  <sheetData>
    <row r="1" customFormat="false" ht="17.35" hidden="false" customHeight="false" outlineLevel="0" collapsed="false">
      <c r="A1" s="5" t="s">
        <v>193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194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18" t="s">
        <v>195</v>
      </c>
      <c r="C4" s="18" t="s">
        <v>196</v>
      </c>
      <c r="E4" s="18" t="s">
        <v>197</v>
      </c>
    </row>
    <row r="5" customFormat="false" ht="22.05" hidden="false" customHeight="false" outlineLevel="0" collapsed="false">
      <c r="A5" s="19" t="n">
        <f aca="false">INDEX(Summary!A6:A10,MATCH(MAX(Summary!D6:D10),Summary!D6:D10,0))</f>
        <v>0.1</v>
      </c>
      <c r="C5" s="20" t="n">
        <f aca="false">Summary!D10</f>
        <v>-247377</v>
      </c>
      <c r="E5" s="21" t="n">
        <f aca="false">SUM(Summary!D6:D10)</f>
        <v>1342819</v>
      </c>
    </row>
    <row r="40" customFormat="false" ht="15" hidden="false" customHeight="false" outlineLevel="0" collapsed="false">
      <c r="A40" s="22" t="s">
        <v>198</v>
      </c>
      <c r="B40" s="22"/>
      <c r="C40" s="22"/>
      <c r="D40" s="22"/>
      <c r="E40" s="22"/>
      <c r="F40" s="22"/>
      <c r="G40" s="22"/>
      <c r="H40" s="22"/>
    </row>
  </sheetData>
  <mergeCells count="3">
    <mergeCell ref="A1:H1"/>
    <mergeCell ref="A2:H2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2026-09-26T07:57:16Z</dcterms:created>
  <dc:creator>openpyxl</dc:creator>
  <dc:description/>
  <dc:language>en-US</dc:language>
  <cp:lastModifiedBy/>
  <dcterms:modified xsi:type="dcterms:W3CDTF">2026-09-26T07:57:24Z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